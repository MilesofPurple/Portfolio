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rocessing Forms\Pension Applications\"/>
    </mc:Choice>
  </mc:AlternateContent>
  <xr:revisionPtr revIDLastSave="0" documentId="13_ncr:1_{C5D3AB53-5679-41FA-B848-0185A07D3F71}" xr6:coauthVersionLast="47" xr6:coauthVersionMax="47" xr10:uidLastSave="{00000000-0000-0000-0000-000000000000}"/>
  <bookViews>
    <workbookView xWindow="-120" yWindow="-120" windowWidth="29040" windowHeight="15840" xr2:uid="{A7946337-E3BC-4E38-94E2-486A6ADEC80B}"/>
  </bookViews>
  <sheets>
    <sheet name="Pension Calculator" sheetId="3" r:id="rId1"/>
    <sheet name="Delayed" sheetId="6" r:id="rId2"/>
    <sheet name="Pro-Rata Worksheet" sheetId="4" r:id="rId3"/>
    <sheet name="QDRO Pension Calculator" sheetId="14" r:id="rId4"/>
    <sheet name="QDRO Month Calc" sheetId="10" r:id="rId5"/>
    <sheet name="Pro-Rata" sheetId="1" r:id="rId6"/>
    <sheet name="4% Interest Calculator" sheetId="23" r:id="rId7"/>
    <sheet name="DCP Tax Calculator" sheetId="16" r:id="rId8"/>
    <sheet name="DCP QDRO Calculation Sheet" sheetId="22" r:id="rId9"/>
    <sheet name="Tabs to the right do not work" sheetId="15" r:id="rId10"/>
    <sheet name="Mail Dashboard" sheetId="24" r:id="rId11"/>
    <sheet name="Overpayment" sheetId="21" r:id="rId12"/>
    <sheet name="Re-Retirement" sheetId="19" r:id="rId13"/>
    <sheet name="Overpayments &amp; Adjustments" sheetId="17" r:id="rId14"/>
    <sheet name="OldServiceEarlyDisability" sheetId="5" r:id="rId15"/>
    <sheet name="QDRO Pension Calculator 6.017" sheetId="12" r:id="rId16"/>
    <sheet name="QDRO PR Pension Calculator (2)" sheetId="20" r:id="rId17"/>
    <sheet name="QDRO PR Pension Calculator" sheetId="9" state="hidden" r:id="rId18"/>
    <sheet name="Pro-Rata (2)" sheetId="7" r:id="rId19"/>
    <sheet name="Pro-Rata (3)" sheetId="8" r:id="rId20"/>
  </sheets>
  <externalReferences>
    <externalReference r:id="rId21"/>
  </externalReferences>
  <definedNames>
    <definedName name="_Hlk138419189" localSheetId="10">'Mail Dashboard'!$A$53</definedName>
    <definedName name="Check10" localSheetId="10">'Mail Dashboard'!$A$69</definedName>
    <definedName name="Check13" localSheetId="10">'Mail Dashboard'!$A$73</definedName>
    <definedName name="Check16" localSheetId="10">'Mail Dashboard'!$C$76</definedName>
    <definedName name="Check17" localSheetId="10">'Mail Dashboard'!$B$75</definedName>
    <definedName name="Check18" localSheetId="10">'Mail Dashboard'!$B$79</definedName>
    <definedName name="Check19" localSheetId="10">'Mail Dashboard'!$A$81</definedName>
    <definedName name="Check20" localSheetId="10">'Mail Dashboard'!$D$82</definedName>
    <definedName name="Check21" localSheetId="10">'Mail Dashboard'!$I$82</definedName>
    <definedName name="Check22" localSheetId="10">'Mail Dashboard'!$F$83</definedName>
    <definedName name="Check23" localSheetId="10">'Mail Dashboard'!$H$83</definedName>
    <definedName name="Check24" localSheetId="10">'Mail Dashboard'!$E$84</definedName>
    <definedName name="Check25" localSheetId="10">'Mail Dashboard'!$G$84</definedName>
    <definedName name="Check26" localSheetId="10">'Mail Dashboard'!$A$93</definedName>
    <definedName name="Check27" localSheetId="10">'Mail Dashboard'!$A$94</definedName>
    <definedName name="Check28" localSheetId="10">'Mail Dashboard'!$A$95</definedName>
    <definedName name="Check29" localSheetId="10">'Mail Dashboard'!$A$96</definedName>
    <definedName name="Check30" localSheetId="10">'Mail Dashboard'!$A$99</definedName>
    <definedName name="Check31" localSheetId="10">'Mail Dashboard'!$B$99</definedName>
    <definedName name="_xlnm.Print_Area" localSheetId="1">Delayed!$A$1:$L$40</definedName>
    <definedName name="_xlnm.Print_Area" localSheetId="11">Overpayment!$A$1:$G$42</definedName>
    <definedName name="_xlnm.Print_Area" localSheetId="13">'Overpayments &amp; Adjustments'!$A$1:$F$16</definedName>
    <definedName name="_xlnm.Print_Area" localSheetId="12">'Re-Retirement'!$A$1:$N$45</definedName>
    <definedName name="Text10" localSheetId="10">'Mail Dashboard'!$B$65</definedName>
    <definedName name="Text11" localSheetId="10">'Mail Dashboard'!$B$73</definedName>
    <definedName name="Text12" localSheetId="10">'Mail Dashboard'!$B$81</definedName>
    <definedName name="Text18" localSheetId="10">'Mail Dashboard'!$B$55</definedName>
    <definedName name="Text2" localSheetId="10">'Mail Dashboard'!$C$55</definedName>
    <definedName name="Text20" localSheetId="10">'Mail Dashboard'!$C$93</definedName>
    <definedName name="Text21" localSheetId="10">'Mail Dashboard'!$E$93</definedName>
    <definedName name="Text22" localSheetId="10">'Mail Dashboard'!$C$95</definedName>
    <definedName name="Text23" localSheetId="10">'Mail Dashboard'!$E$96</definedName>
    <definedName name="Text24" localSheetId="10">'Mail Dashboard'!$C$99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3" l="1"/>
  <c r="J24" i="3"/>
  <c r="J23" i="3"/>
  <c r="J22" i="3"/>
  <c r="J20" i="3"/>
  <c r="J21" i="3"/>
  <c r="I25" i="3"/>
  <c r="I24" i="3"/>
  <c r="I23" i="3"/>
  <c r="I22" i="3"/>
  <c r="I21" i="3"/>
  <c r="I20" i="3"/>
  <c r="I34" i="3"/>
  <c r="I33" i="3"/>
  <c r="I32" i="3"/>
  <c r="I31" i="3"/>
  <c r="I30" i="3"/>
  <c r="I29" i="3"/>
  <c r="I28" i="3"/>
  <c r="J28" i="3"/>
  <c r="K28" i="3"/>
  <c r="L28" i="3"/>
  <c r="L19" i="3"/>
  <c r="K19" i="3"/>
  <c r="J19" i="3"/>
  <c r="I19" i="3"/>
  <c r="I27" i="3"/>
  <c r="I9" i="3"/>
  <c r="I18" i="3"/>
  <c r="C22" i="23" l="1"/>
  <c r="C23" i="23"/>
  <c r="A23" i="23"/>
  <c r="A21" i="23"/>
  <c r="A20" i="23"/>
  <c r="A19" i="23"/>
  <c r="A18" i="23"/>
  <c r="A17" i="23"/>
  <c r="A16" i="23"/>
  <c r="A15" i="23"/>
  <c r="A14" i="23"/>
  <c r="A13" i="23"/>
  <c r="A12" i="23"/>
  <c r="C12" i="23" s="1"/>
  <c r="A11" i="23"/>
  <c r="C11" i="23"/>
  <c r="C14" i="23" l="1"/>
  <c r="C13" i="23"/>
  <c r="B26" i="23"/>
  <c r="D3" i="23"/>
  <c r="C3" i="23"/>
  <c r="B12" i="24"/>
  <c r="E14" i="23"/>
  <c r="E13" i="23"/>
  <c r="E12" i="23"/>
  <c r="E11" i="23"/>
  <c r="D14" i="23"/>
  <c r="D13" i="23"/>
  <c r="D12" i="23"/>
  <c r="D11" i="23"/>
  <c r="B26" i="22"/>
  <c r="B30" i="22" s="1"/>
  <c r="E30" i="22" s="1"/>
  <c r="H31" i="22"/>
  <c r="E23" i="22"/>
  <c r="E24" i="22" s="1"/>
  <c r="C15" i="23" l="1"/>
  <c r="E26" i="22"/>
  <c r="E27" i="22" s="1"/>
  <c r="E28" i="22" s="1"/>
  <c r="B34" i="22"/>
  <c r="E15" i="23" l="1"/>
  <c r="D15" i="23"/>
  <c r="C16" i="23"/>
  <c r="B38" i="22"/>
  <c r="E34" i="22"/>
  <c r="E31" i="22"/>
  <c r="E32" i="22" s="1"/>
  <c r="E16" i="23" l="1"/>
  <c r="D16" i="23"/>
  <c r="C17" i="23"/>
  <c r="B42" i="22"/>
  <c r="E38" i="22"/>
  <c r="E35" i="22"/>
  <c r="E36" i="22" s="1"/>
  <c r="E17" i="23" l="1"/>
  <c r="D17" i="23"/>
  <c r="C18" i="23"/>
  <c r="B46" i="22"/>
  <c r="E42" i="22"/>
  <c r="E39" i="22"/>
  <c r="E40" i="22" s="1"/>
  <c r="D18" i="23" l="1"/>
  <c r="E18" i="23"/>
  <c r="C19" i="23"/>
  <c r="B50" i="22"/>
  <c r="E46" i="22"/>
  <c r="E43" i="22"/>
  <c r="E44" i="22" s="1"/>
  <c r="E19" i="23" l="1"/>
  <c r="D19" i="23"/>
  <c r="C20" i="23"/>
  <c r="B54" i="22"/>
  <c r="E50" i="22"/>
  <c r="E47" i="22"/>
  <c r="E48" i="22" s="1"/>
  <c r="D20" i="23" l="1"/>
  <c r="E20" i="23"/>
  <c r="C21" i="23"/>
  <c r="A22" i="23"/>
  <c r="B58" i="22"/>
  <c r="E54" i="22"/>
  <c r="E51" i="22"/>
  <c r="E52" i="22" s="1"/>
  <c r="E21" i="23" l="1"/>
  <c r="D21" i="23"/>
  <c r="B62" i="22"/>
  <c r="E58" i="22"/>
  <c r="E55" i="22"/>
  <c r="E56" i="22" s="1"/>
  <c r="E22" i="23" l="1"/>
  <c r="D22" i="23"/>
  <c r="E23" i="23"/>
  <c r="B27" i="23" s="1"/>
  <c r="B28" i="23" s="1"/>
  <c r="D23" i="23"/>
  <c r="B66" i="22"/>
  <c r="E62" i="22"/>
  <c r="E59" i="22"/>
  <c r="E60" i="22" s="1"/>
  <c r="D57" i="14"/>
  <c r="C11" i="17"/>
  <c r="B15" i="17"/>
  <c r="B14" i="17"/>
  <c r="B70" i="22" l="1"/>
  <c r="E66" i="22"/>
  <c r="E63" i="22"/>
  <c r="E64" i="22" s="1"/>
  <c r="D25" i="3"/>
  <c r="D24" i="3"/>
  <c r="D21" i="3"/>
  <c r="G38" i="21"/>
  <c r="H15" i="3"/>
  <c r="D28" i="3"/>
  <c r="D27" i="3"/>
  <c r="H18" i="3"/>
  <c r="D19" i="3"/>
  <c r="D18" i="3"/>
  <c r="G17" i="3"/>
  <c r="D17" i="3"/>
  <c r="D16" i="3"/>
  <c r="D15" i="3"/>
  <c r="G14" i="3"/>
  <c r="D14" i="3"/>
  <c r="F36" i="3"/>
  <c r="M4" i="14"/>
  <c r="C4" i="14"/>
  <c r="B21" i="14"/>
  <c r="L34" i="21"/>
  <c r="L35" i="21" s="1"/>
  <c r="E5" i="17"/>
  <c r="D5" i="17"/>
  <c r="D11" i="17" s="1"/>
  <c r="D6" i="17"/>
  <c r="D7" i="17"/>
  <c r="E6" i="17"/>
  <c r="E7" i="17"/>
  <c r="K4" i="21"/>
  <c r="I4" i="21"/>
  <c r="H18" i="6"/>
  <c r="L2" i="21"/>
  <c r="B23" i="17"/>
  <c r="B19" i="17"/>
  <c r="B21" i="17" s="1"/>
  <c r="I7" i="17"/>
  <c r="B74" i="22" l="1"/>
  <c r="E70" i="22"/>
  <c r="E67" i="22"/>
  <c r="E68" i="22" s="1"/>
  <c r="E8" i="17"/>
  <c r="B13" i="17" s="1"/>
  <c r="B24" i="17"/>
  <c r="B27" i="17" s="1"/>
  <c r="D11" i="19"/>
  <c r="J14" i="19"/>
  <c r="J12" i="19"/>
  <c r="J22" i="19" s="1"/>
  <c r="J19" i="19"/>
  <c r="J16" i="19"/>
  <c r="J13" i="19"/>
  <c r="I8" i="19"/>
  <c r="J8" i="19" s="1"/>
  <c r="F8" i="19"/>
  <c r="F6" i="19"/>
  <c r="D39" i="19"/>
  <c r="D38" i="19"/>
  <c r="D32" i="19"/>
  <c r="D31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I6" i="19"/>
  <c r="J6" i="19" s="1"/>
  <c r="B78" i="22" l="1"/>
  <c r="E74" i="22"/>
  <c r="E71" i="22"/>
  <c r="E72" i="22" s="1"/>
  <c r="J21" i="19"/>
  <c r="J23" i="19"/>
  <c r="D25" i="21"/>
  <c r="D23" i="21"/>
  <c r="F20" i="21"/>
  <c r="F17" i="21"/>
  <c r="G15" i="21"/>
  <c r="E20" i="21" s="1"/>
  <c r="F15" i="21"/>
  <c r="G14" i="21"/>
  <c r="E19" i="21" s="1"/>
  <c r="D14" i="21"/>
  <c r="B14" i="21"/>
  <c r="G12" i="21"/>
  <c r="G20" i="21" s="1"/>
  <c r="F12" i="21"/>
  <c r="B12" i="21"/>
  <c r="G11" i="21"/>
  <c r="E11" i="21"/>
  <c r="B9" i="21"/>
  <c r="B8" i="21"/>
  <c r="A1" i="21"/>
  <c r="H17" i="20"/>
  <c r="C4" i="20"/>
  <c r="F4" i="20"/>
  <c r="H4" i="20"/>
  <c r="M4" i="20"/>
  <c r="F5" i="20"/>
  <c r="H5" i="20"/>
  <c r="C8" i="20"/>
  <c r="F8" i="20"/>
  <c r="I8" i="20"/>
  <c r="J8" i="20" s="1"/>
  <c r="S9" i="20"/>
  <c r="C10" i="20"/>
  <c r="D10" i="20"/>
  <c r="E10" i="20"/>
  <c r="F10" i="20"/>
  <c r="I10" i="20"/>
  <c r="J10" i="20"/>
  <c r="S10" i="20"/>
  <c r="T10" i="20"/>
  <c r="U10" i="20"/>
  <c r="V10" i="20"/>
  <c r="D11" i="20"/>
  <c r="H11" i="20" s="1"/>
  <c r="F11" i="20"/>
  <c r="J11" i="20"/>
  <c r="S11" i="20"/>
  <c r="D12" i="20"/>
  <c r="H12" i="20" s="1"/>
  <c r="F12" i="20"/>
  <c r="J12" i="20"/>
  <c r="S12" i="20"/>
  <c r="D13" i="20"/>
  <c r="H13" i="20" s="1"/>
  <c r="F13" i="20"/>
  <c r="I13" i="20"/>
  <c r="J13" i="20"/>
  <c r="S13" i="20"/>
  <c r="D14" i="20"/>
  <c r="I14" i="20" s="1"/>
  <c r="F14" i="20"/>
  <c r="J14" i="20"/>
  <c r="N14" i="20"/>
  <c r="S14" i="20"/>
  <c r="D15" i="20"/>
  <c r="H15" i="20" s="1"/>
  <c r="F15" i="20"/>
  <c r="J15" i="20"/>
  <c r="K15" i="20"/>
  <c r="N15" i="20"/>
  <c r="S15" i="20"/>
  <c r="D16" i="20"/>
  <c r="F16" i="20"/>
  <c r="J16" i="20"/>
  <c r="K16" i="20"/>
  <c r="N16" i="20"/>
  <c r="S16" i="20"/>
  <c r="D17" i="20"/>
  <c r="I17" i="20" s="1"/>
  <c r="F17" i="20"/>
  <c r="J17" i="20"/>
  <c r="N17" i="20"/>
  <c r="S17" i="20"/>
  <c r="A18" i="20"/>
  <c r="B18" i="20"/>
  <c r="C18" i="20"/>
  <c r="E18" i="20"/>
  <c r="F18" i="20"/>
  <c r="J18" i="20"/>
  <c r="S18" i="20"/>
  <c r="T18" i="20"/>
  <c r="U18" i="20"/>
  <c r="V18" i="20"/>
  <c r="K19" i="20"/>
  <c r="S19" i="20"/>
  <c r="T19" i="20"/>
  <c r="U19" i="20"/>
  <c r="V19" i="20"/>
  <c r="D20" i="20"/>
  <c r="I20" i="20" s="1"/>
  <c r="I22" i="20" s="1"/>
  <c r="F20" i="20"/>
  <c r="J20" i="20"/>
  <c r="K20" i="20"/>
  <c r="S20" i="20"/>
  <c r="T20" i="20"/>
  <c r="U20" i="20"/>
  <c r="V20" i="20"/>
  <c r="D21" i="20"/>
  <c r="H21" i="20" s="1"/>
  <c r="F21" i="20"/>
  <c r="I21" i="20"/>
  <c r="J21" i="20"/>
  <c r="K21" i="20"/>
  <c r="O21" i="20"/>
  <c r="S21" i="20"/>
  <c r="T21" i="20"/>
  <c r="U21" i="20"/>
  <c r="V21" i="20"/>
  <c r="A22" i="20"/>
  <c r="B22" i="20"/>
  <c r="C22" i="20"/>
  <c r="E22" i="20"/>
  <c r="F22" i="20"/>
  <c r="J22" i="20"/>
  <c r="K22" i="20"/>
  <c r="O22" i="20"/>
  <c r="S22" i="20"/>
  <c r="T22" i="20"/>
  <c r="U22" i="20"/>
  <c r="V22" i="20"/>
  <c r="S23" i="20"/>
  <c r="T23" i="20"/>
  <c r="U23" i="20"/>
  <c r="V23" i="20"/>
  <c r="D24" i="20"/>
  <c r="I24" i="20" s="1"/>
  <c r="F24" i="20"/>
  <c r="J24" i="20"/>
  <c r="N24" i="20"/>
  <c r="S24" i="20"/>
  <c r="T24" i="20"/>
  <c r="U24" i="20"/>
  <c r="V24" i="20"/>
  <c r="D25" i="20"/>
  <c r="H25" i="20" s="1"/>
  <c r="F25" i="20"/>
  <c r="J25" i="20"/>
  <c r="K25" i="20"/>
  <c r="N25" i="20"/>
  <c r="O25" i="20"/>
  <c r="D26" i="20"/>
  <c r="H26" i="20" s="1"/>
  <c r="F26" i="20"/>
  <c r="J26" i="20"/>
  <c r="K26" i="20"/>
  <c r="N26" i="20"/>
  <c r="O26" i="20"/>
  <c r="D27" i="20"/>
  <c r="H27" i="20" s="1"/>
  <c r="F27" i="20"/>
  <c r="J27" i="20"/>
  <c r="K27" i="20"/>
  <c r="N27" i="20"/>
  <c r="D28" i="20"/>
  <c r="I28" i="20" s="1"/>
  <c r="F28" i="20"/>
  <c r="H28" i="20"/>
  <c r="J28" i="20"/>
  <c r="K28" i="20"/>
  <c r="O28" i="20"/>
  <c r="D29" i="20"/>
  <c r="H29" i="20" s="1"/>
  <c r="F29" i="20"/>
  <c r="J29" i="20"/>
  <c r="K29" i="20"/>
  <c r="O29" i="20"/>
  <c r="A30" i="20"/>
  <c r="B30" i="20"/>
  <c r="C30" i="20"/>
  <c r="C31" i="20" s="1"/>
  <c r="E30" i="20"/>
  <c r="F30" i="20"/>
  <c r="J30" i="20"/>
  <c r="K30" i="20"/>
  <c r="N30" i="20"/>
  <c r="E31" i="20"/>
  <c r="F31" i="20"/>
  <c r="G31" i="20"/>
  <c r="J31" i="20"/>
  <c r="K31" i="20"/>
  <c r="O31" i="20"/>
  <c r="A32" i="20"/>
  <c r="K32" i="20"/>
  <c r="O32" i="20"/>
  <c r="D33" i="20"/>
  <c r="F33" i="20"/>
  <c r="G33" i="20"/>
  <c r="K33" i="20"/>
  <c r="O33" i="20"/>
  <c r="D34" i="20"/>
  <c r="F34" i="20"/>
  <c r="G34" i="20"/>
  <c r="K34" i="20"/>
  <c r="O34" i="20"/>
  <c r="D35" i="20"/>
  <c r="F35" i="20"/>
  <c r="D36" i="20"/>
  <c r="F36" i="20"/>
  <c r="K36" i="20"/>
  <c r="O36" i="20"/>
  <c r="A37" i="20"/>
  <c r="B37" i="20"/>
  <c r="C37" i="20"/>
  <c r="D37" i="20"/>
  <c r="E37" i="20"/>
  <c r="F37" i="20"/>
  <c r="G37" i="20"/>
  <c r="H37" i="20"/>
  <c r="I37" i="20"/>
  <c r="J37" i="20"/>
  <c r="K37" i="20"/>
  <c r="O37" i="20"/>
  <c r="A38" i="20"/>
  <c r="B38" i="20"/>
  <c r="C38" i="20"/>
  <c r="D38" i="20"/>
  <c r="E38" i="20"/>
  <c r="F38" i="20"/>
  <c r="G38" i="20"/>
  <c r="H38" i="20"/>
  <c r="I38" i="20"/>
  <c r="J38" i="20"/>
  <c r="K38" i="20"/>
  <c r="O38" i="20"/>
  <c r="K39" i="20"/>
  <c r="O39" i="20"/>
  <c r="K40" i="20"/>
  <c r="A41" i="20"/>
  <c r="E41" i="20"/>
  <c r="K41" i="20"/>
  <c r="A42" i="20"/>
  <c r="C42" i="20"/>
  <c r="E42" i="20"/>
  <c r="G42" i="20"/>
  <c r="K42" i="20"/>
  <c r="A43" i="20"/>
  <c r="C43" i="20"/>
  <c r="E43" i="20"/>
  <c r="G43" i="20"/>
  <c r="K43" i="20"/>
  <c r="A44" i="20"/>
  <c r="B44" i="20"/>
  <c r="B45" i="20" s="1"/>
  <c r="D48" i="20" s="1"/>
  <c r="C44" i="20"/>
  <c r="E44" i="20"/>
  <c r="F44" i="20"/>
  <c r="G44" i="20"/>
  <c r="K44" i="20"/>
  <c r="O44" i="20"/>
  <c r="A45" i="20"/>
  <c r="C45" i="20"/>
  <c r="E45" i="20"/>
  <c r="F45" i="20"/>
  <c r="G45" i="20"/>
  <c r="A46" i="20"/>
  <c r="E46" i="20"/>
  <c r="K46" i="20"/>
  <c r="A47" i="20"/>
  <c r="E47" i="20"/>
  <c r="K47" i="20"/>
  <c r="A48" i="20"/>
  <c r="E48" i="20"/>
  <c r="H48" i="20"/>
  <c r="K48" i="20"/>
  <c r="O48" i="20"/>
  <c r="A49" i="20"/>
  <c r="E49" i="20"/>
  <c r="H49" i="20"/>
  <c r="K49" i="20"/>
  <c r="O49" i="20"/>
  <c r="A50" i="20"/>
  <c r="D50" i="20"/>
  <c r="E50" i="20"/>
  <c r="H50" i="20"/>
  <c r="A51" i="20"/>
  <c r="D51" i="20"/>
  <c r="E51" i="20"/>
  <c r="H51" i="20"/>
  <c r="A52" i="20"/>
  <c r="E52" i="20"/>
  <c r="H52" i="20"/>
  <c r="A53" i="20"/>
  <c r="D53" i="20"/>
  <c r="E53" i="20"/>
  <c r="H53" i="20"/>
  <c r="A54" i="20"/>
  <c r="D54" i="20"/>
  <c r="E54" i="20"/>
  <c r="H54" i="20"/>
  <c r="A55" i="20"/>
  <c r="E55" i="20"/>
  <c r="H55" i="20"/>
  <c r="A56" i="20"/>
  <c r="D56" i="20"/>
  <c r="E56" i="20"/>
  <c r="H56" i="20"/>
  <c r="A57" i="20"/>
  <c r="D57" i="20"/>
  <c r="E57" i="20"/>
  <c r="H57" i="20"/>
  <c r="A58" i="20"/>
  <c r="E58" i="20"/>
  <c r="H58" i="20"/>
  <c r="A59" i="20"/>
  <c r="E59" i="20"/>
  <c r="H59" i="20"/>
  <c r="A41" i="19"/>
  <c r="A34" i="19"/>
  <c r="A27" i="19"/>
  <c r="N11" i="19"/>
  <c r="N12" i="19"/>
  <c r="N13" i="19"/>
  <c r="N14" i="19"/>
  <c r="N15" i="19"/>
  <c r="N16" i="19"/>
  <c r="J26" i="19"/>
  <c r="B27" i="19"/>
  <c r="B34" i="19"/>
  <c r="D34" i="19"/>
  <c r="B41" i="19"/>
  <c r="N56" i="19"/>
  <c r="D59" i="19"/>
  <c r="N57" i="19"/>
  <c r="D60" i="19"/>
  <c r="N58" i="19"/>
  <c r="D61" i="19"/>
  <c r="N59" i="19"/>
  <c r="D62" i="19"/>
  <c r="N60" i="19"/>
  <c r="D63" i="19"/>
  <c r="N61" i="19"/>
  <c r="D64" i="19"/>
  <c r="J64" i="19"/>
  <c r="J71" i="19" s="1"/>
  <c r="D65" i="19"/>
  <c r="D66" i="19"/>
  <c r="D67" i="19"/>
  <c r="D68" i="19"/>
  <c r="D69" i="19"/>
  <c r="J69" i="19"/>
  <c r="D70" i="19"/>
  <c r="J70" i="19"/>
  <c r="D71" i="19"/>
  <c r="D72" i="19"/>
  <c r="B74" i="19"/>
  <c r="D79" i="19"/>
  <c r="D81" i="19" s="1"/>
  <c r="J60" i="19" s="1"/>
  <c r="J62" i="19" s="1"/>
  <c r="B81" i="19"/>
  <c r="D85" i="19"/>
  <c r="D86" i="19"/>
  <c r="G86" i="19"/>
  <c r="B88" i="19"/>
  <c r="N101" i="19"/>
  <c r="D104" i="19"/>
  <c r="N102" i="19"/>
  <c r="D105" i="19"/>
  <c r="N103" i="19"/>
  <c r="D106" i="19"/>
  <c r="N104" i="19"/>
  <c r="D107" i="19"/>
  <c r="N105" i="19"/>
  <c r="D108" i="19"/>
  <c r="N106" i="19"/>
  <c r="D109" i="19"/>
  <c r="J109" i="19"/>
  <c r="J116" i="19" s="1"/>
  <c r="D110" i="19"/>
  <c r="D111" i="19"/>
  <c r="D112" i="19"/>
  <c r="D113" i="19"/>
  <c r="D114" i="19"/>
  <c r="J114" i="19"/>
  <c r="D115" i="19"/>
  <c r="J115" i="19"/>
  <c r="D116" i="19"/>
  <c r="D117" i="19"/>
  <c r="B119" i="19"/>
  <c r="D124" i="19"/>
  <c r="D126" i="19" s="1"/>
  <c r="J105" i="19" s="1"/>
  <c r="J107" i="19" s="1"/>
  <c r="B126" i="19"/>
  <c r="D130" i="19"/>
  <c r="D131" i="19"/>
  <c r="B133" i="19"/>
  <c r="A57" i="14"/>
  <c r="A56" i="14"/>
  <c r="E57" i="14"/>
  <c r="E56" i="14"/>
  <c r="D46" i="14"/>
  <c r="D49" i="14"/>
  <c r="J18" i="14"/>
  <c r="J19" i="14"/>
  <c r="E43" i="14"/>
  <c r="E41" i="14"/>
  <c r="E40" i="14"/>
  <c r="E39" i="14"/>
  <c r="E38" i="14"/>
  <c r="E52" i="14"/>
  <c r="E51" i="14"/>
  <c r="E50" i="14"/>
  <c r="E47" i="14"/>
  <c r="H46" i="14"/>
  <c r="E44" i="14"/>
  <c r="G37" i="14"/>
  <c r="G36" i="14"/>
  <c r="E37" i="14"/>
  <c r="E36" i="14"/>
  <c r="A53" i="14"/>
  <c r="D54" i="14"/>
  <c r="A55" i="14"/>
  <c r="A52" i="14"/>
  <c r="A51" i="14"/>
  <c r="C37" i="14"/>
  <c r="C36" i="14"/>
  <c r="A37" i="14"/>
  <c r="A36" i="14"/>
  <c r="N23" i="6"/>
  <c r="J26" i="14"/>
  <c r="C2" i="16"/>
  <c r="G31" i="14"/>
  <c r="B82" i="22" l="1"/>
  <c r="E78" i="22"/>
  <c r="E75" i="22"/>
  <c r="E76" i="22" s="1"/>
  <c r="G17" i="21"/>
  <c r="H16" i="20"/>
  <c r="J15" i="19"/>
  <c r="J17" i="19" s="1"/>
  <c r="J25" i="19"/>
  <c r="D88" i="19"/>
  <c r="J63" i="19" s="1"/>
  <c r="J65" i="19" s="1"/>
  <c r="G19" i="21"/>
  <c r="G16" i="21"/>
  <c r="E16" i="21"/>
  <c r="B31" i="20"/>
  <c r="N62" i="19"/>
  <c r="J77" i="19" s="1"/>
  <c r="J78" i="19" s="1"/>
  <c r="N107" i="19"/>
  <c r="J122" i="19" s="1"/>
  <c r="J123" i="19" s="1"/>
  <c r="A31" i="20"/>
  <c r="H20" i="20"/>
  <c r="H22" i="20" s="1"/>
  <c r="I16" i="20"/>
  <c r="I15" i="20"/>
  <c r="I11" i="20"/>
  <c r="D22" i="20"/>
  <c r="T15" i="20"/>
  <c r="T13" i="20"/>
  <c r="T11" i="20"/>
  <c r="T14" i="20"/>
  <c r="T16" i="20"/>
  <c r="T12" i="20"/>
  <c r="H24" i="20"/>
  <c r="H30" i="20" s="1"/>
  <c r="H14" i="20"/>
  <c r="H18" i="20" s="1"/>
  <c r="I29" i="20"/>
  <c r="I27" i="20"/>
  <c r="I26" i="20"/>
  <c r="I25" i="20"/>
  <c r="D30" i="20"/>
  <c r="D18" i="20"/>
  <c r="I12" i="20"/>
  <c r="I18" i="20" s="1"/>
  <c r="D41" i="19"/>
  <c r="J18" i="19" s="1"/>
  <c r="J20" i="19" s="1"/>
  <c r="D119" i="19"/>
  <c r="J102" i="19" s="1"/>
  <c r="J104" i="19" s="1"/>
  <c r="N113" i="19" s="1"/>
  <c r="N115" i="19" s="1"/>
  <c r="D133" i="19"/>
  <c r="J108" i="19" s="1"/>
  <c r="J110" i="19" s="1"/>
  <c r="J117" i="19"/>
  <c r="D74" i="19"/>
  <c r="J57" i="19" s="1"/>
  <c r="J59" i="19" s="1"/>
  <c r="D27" i="19"/>
  <c r="J72" i="19"/>
  <c r="N67" i="19" s="1"/>
  <c r="N69" i="19" s="1"/>
  <c r="N68" i="19"/>
  <c r="N70" i="19" s="1"/>
  <c r="N17" i="19"/>
  <c r="J31" i="19" s="1"/>
  <c r="J32" i="19" s="1"/>
  <c r="N121" i="19"/>
  <c r="N123" i="19" s="1"/>
  <c r="A42" i="14"/>
  <c r="A41" i="14"/>
  <c r="A40" i="14"/>
  <c r="C53" i="14"/>
  <c r="B9" i="16"/>
  <c r="C7" i="16" s="1"/>
  <c r="J30" i="14"/>
  <c r="J21" i="14"/>
  <c r="J29" i="14"/>
  <c r="J28" i="14"/>
  <c r="M26" i="14"/>
  <c r="M27" i="14"/>
  <c r="J27" i="14"/>
  <c r="J25" i="14"/>
  <c r="J37" i="14"/>
  <c r="J36" i="14"/>
  <c r="J15" i="14"/>
  <c r="A61" i="14"/>
  <c r="A54" i="14"/>
  <c r="A60" i="14"/>
  <c r="A59" i="14"/>
  <c r="E60" i="14"/>
  <c r="A58" i="14"/>
  <c r="A50" i="14"/>
  <c r="A47" i="14"/>
  <c r="A44" i="14"/>
  <c r="I31" i="14"/>
  <c r="I30" i="14"/>
  <c r="I29" i="14"/>
  <c r="J44" i="14"/>
  <c r="J43" i="14"/>
  <c r="J42" i="14"/>
  <c r="J41" i="14"/>
  <c r="J40" i="14"/>
  <c r="J35" i="14"/>
  <c r="J34" i="14"/>
  <c r="E82" i="22" l="1"/>
  <c r="B86" i="22"/>
  <c r="J129" i="19"/>
  <c r="K13" i="20"/>
  <c r="J85" i="19"/>
  <c r="J24" i="19"/>
  <c r="N22" i="19" s="1"/>
  <c r="N117" i="19"/>
  <c r="N119" i="19" s="1"/>
  <c r="J126" i="19"/>
  <c r="J130" i="19"/>
  <c r="G25" i="21"/>
  <c r="G23" i="21"/>
  <c r="L8" i="21" s="1"/>
  <c r="F23" i="21"/>
  <c r="G22" i="21"/>
  <c r="F22" i="21"/>
  <c r="G24" i="21"/>
  <c r="K11" i="20"/>
  <c r="K12" i="20"/>
  <c r="I30" i="20"/>
  <c r="D31" i="20"/>
  <c r="H31" i="20"/>
  <c r="I31" i="20"/>
  <c r="J86" i="19"/>
  <c r="J136" i="19"/>
  <c r="J87" i="19"/>
  <c r="J81" i="19"/>
  <c r="N112" i="19"/>
  <c r="N120" i="19"/>
  <c r="N116" i="19"/>
  <c r="J132" i="19"/>
  <c r="J33" i="14"/>
  <c r="M33" i="14"/>
  <c r="J32" i="14"/>
  <c r="J31" i="14"/>
  <c r="N21" i="14"/>
  <c r="N24" i="14"/>
  <c r="E86" i="22" l="1"/>
  <c r="B90" i="22"/>
  <c r="G26" i="21"/>
  <c r="G28" i="21"/>
  <c r="L17" i="21"/>
  <c r="L16" i="21"/>
  <c r="L15" i="21"/>
  <c r="J21" i="21"/>
  <c r="J17" i="21"/>
  <c r="J20" i="21"/>
  <c r="J16" i="21"/>
  <c r="J19" i="21"/>
  <c r="J22" i="21"/>
  <c r="J18" i="21"/>
  <c r="L4" i="21"/>
  <c r="L12" i="21"/>
  <c r="L11" i="21"/>
  <c r="L7" i="21"/>
  <c r="L9" i="21"/>
  <c r="L14" i="21"/>
  <c r="L10" i="21"/>
  <c r="L6" i="21"/>
  <c r="L13" i="21"/>
  <c r="L5" i="21"/>
  <c r="J15" i="21"/>
  <c r="J14" i="21"/>
  <c r="J13" i="21"/>
  <c r="J6" i="21"/>
  <c r="J4" i="21"/>
  <c r="M4" i="21" s="1"/>
  <c r="J8" i="21"/>
  <c r="J5" i="21"/>
  <c r="J11" i="21"/>
  <c r="J10" i="21"/>
  <c r="J12" i="21"/>
  <c r="J9" i="21"/>
  <c r="J7" i="21"/>
  <c r="J134" i="19"/>
  <c r="N29" i="19"/>
  <c r="N31" i="19" s="1"/>
  <c r="J39" i="19"/>
  <c r="N37" i="19"/>
  <c r="N39" i="19" s="1"/>
  <c r="N33" i="19"/>
  <c r="N35" i="19" s="1"/>
  <c r="J38" i="19"/>
  <c r="N36" i="19" s="1"/>
  <c r="N38" i="19" s="1"/>
  <c r="J27" i="19"/>
  <c r="J35" i="19" s="1"/>
  <c r="N118" i="19"/>
  <c r="J133" i="19"/>
  <c r="N122" i="19"/>
  <c r="J135" i="19"/>
  <c r="N114" i="19"/>
  <c r="J131" i="19"/>
  <c r="D58" i="14"/>
  <c r="I32" i="14"/>
  <c r="H31" i="14"/>
  <c r="E32" i="14"/>
  <c r="D32" i="14"/>
  <c r="B32" i="14"/>
  <c r="C32" i="14"/>
  <c r="A32" i="14"/>
  <c r="F33" i="14"/>
  <c r="F32" i="14"/>
  <c r="F30" i="14"/>
  <c r="G30" i="14" s="1"/>
  <c r="F29" i="14"/>
  <c r="G29" i="14" s="1"/>
  <c r="A28" i="14"/>
  <c r="F27" i="14"/>
  <c r="J24" i="14"/>
  <c r="J23" i="14"/>
  <c r="E9" i="16"/>
  <c r="D9" i="16"/>
  <c r="C9" i="16"/>
  <c r="F6" i="16"/>
  <c r="E4" i="16"/>
  <c r="C4" i="16"/>
  <c r="F4" i="16" s="1"/>
  <c r="F1" i="16"/>
  <c r="F6" i="15"/>
  <c r="F1" i="15"/>
  <c r="E9" i="15"/>
  <c r="E10" i="15" s="1"/>
  <c r="D9" i="15"/>
  <c r="C9" i="15"/>
  <c r="E4" i="15"/>
  <c r="G4" i="15" s="1"/>
  <c r="C4" i="15"/>
  <c r="F4" i="15" s="1"/>
  <c r="E90" i="22" l="1"/>
  <c r="B94" i="22"/>
  <c r="E94" i="22" s="1"/>
  <c r="O4" i="21"/>
  <c r="G34" i="21"/>
  <c r="G29" i="21"/>
  <c r="G31" i="21" s="1"/>
  <c r="G35" i="21" s="1"/>
  <c r="M28" i="21"/>
  <c r="G6" i="16"/>
  <c r="G9" i="16"/>
  <c r="G6" i="15"/>
  <c r="N4" i="21"/>
  <c r="N28" i="19"/>
  <c r="N30" i="19" s="1"/>
  <c r="N24" i="19"/>
  <c r="J41" i="19"/>
  <c r="N32" i="19"/>
  <c r="N34" i="19" s="1"/>
  <c r="J43" i="19"/>
  <c r="J45" i="19"/>
  <c r="F9" i="15"/>
  <c r="G9" i="15"/>
  <c r="G4" i="16"/>
  <c r="G1" i="16"/>
  <c r="H30" i="14"/>
  <c r="H29" i="14"/>
  <c r="H32" i="14" s="1"/>
  <c r="G32" i="14"/>
  <c r="F9" i="16"/>
  <c r="G1" i="15"/>
  <c r="J22" i="14"/>
  <c r="O24" i="14"/>
  <c r="E61" i="14"/>
  <c r="O23" i="14"/>
  <c r="O22" i="14"/>
  <c r="O21" i="14"/>
  <c r="H51" i="14"/>
  <c r="D51" i="14"/>
  <c r="D52" i="14" s="1"/>
  <c r="O20" i="14"/>
  <c r="O19" i="14"/>
  <c r="E49" i="14"/>
  <c r="A49" i="14"/>
  <c r="R18" i="14"/>
  <c r="Q18" i="14"/>
  <c r="P18" i="14"/>
  <c r="O18" i="14"/>
  <c r="H48" i="14"/>
  <c r="E48" i="14"/>
  <c r="D48" i="14"/>
  <c r="A48" i="14"/>
  <c r="O17" i="14"/>
  <c r="O16" i="14"/>
  <c r="E46" i="14"/>
  <c r="A46" i="14"/>
  <c r="O15" i="14"/>
  <c r="H45" i="14"/>
  <c r="E45" i="14"/>
  <c r="D45" i="14"/>
  <c r="A45" i="14"/>
  <c r="O14" i="14"/>
  <c r="O13" i="14"/>
  <c r="A43" i="14"/>
  <c r="O12" i="14"/>
  <c r="O11" i="14"/>
  <c r="R10" i="14"/>
  <c r="Q10" i="14"/>
  <c r="P10" i="14"/>
  <c r="O10" i="14"/>
  <c r="G39" i="14"/>
  <c r="C39" i="14"/>
  <c r="C54" i="14" s="1"/>
  <c r="A39" i="14"/>
  <c r="G38" i="14"/>
  <c r="C38" i="14"/>
  <c r="A38" i="14"/>
  <c r="E35" i="14"/>
  <c r="A35" i="14"/>
  <c r="D26" i="14"/>
  <c r="B26" i="14"/>
  <c r="N28" i="14"/>
  <c r="I25" i="14"/>
  <c r="E25" i="14"/>
  <c r="C25" i="14"/>
  <c r="H25" i="14" s="1"/>
  <c r="I24" i="14"/>
  <c r="E24" i="14"/>
  <c r="C24" i="14"/>
  <c r="H24" i="14" s="1"/>
  <c r="I23" i="14"/>
  <c r="E23" i="14"/>
  <c r="C23" i="14"/>
  <c r="N13" i="14"/>
  <c r="D21" i="14"/>
  <c r="E20" i="14"/>
  <c r="C20" i="14"/>
  <c r="H20" i="14" s="1"/>
  <c r="E19" i="14"/>
  <c r="C19" i="14"/>
  <c r="D17" i="14"/>
  <c r="B17" i="14"/>
  <c r="J17" i="14"/>
  <c r="E16" i="14"/>
  <c r="I16" i="14" s="1"/>
  <c r="C16" i="14"/>
  <c r="J16" i="14"/>
  <c r="E15" i="14"/>
  <c r="I15" i="14" s="1"/>
  <c r="C15" i="14"/>
  <c r="E14" i="14"/>
  <c r="I14" i="14" s="1"/>
  <c r="C14" i="14"/>
  <c r="J13" i="14"/>
  <c r="E13" i="14"/>
  <c r="C13" i="14"/>
  <c r="H13" i="14" s="1"/>
  <c r="J12" i="14"/>
  <c r="E12" i="14"/>
  <c r="I12" i="14" s="1"/>
  <c r="C12" i="14"/>
  <c r="H12" i="14" s="1"/>
  <c r="E11" i="14"/>
  <c r="C11" i="14"/>
  <c r="H11" i="14" s="1"/>
  <c r="I10" i="14"/>
  <c r="H10" i="14"/>
  <c r="E10" i="14"/>
  <c r="D10" i="14"/>
  <c r="C10" i="14"/>
  <c r="B10" i="14"/>
  <c r="H8" i="14"/>
  <c r="I8" i="14" s="1"/>
  <c r="E8" i="14"/>
  <c r="C8" i="14"/>
  <c r="H16" i="14" l="1"/>
  <c r="G16" i="14"/>
  <c r="K5" i="21"/>
  <c r="I5" i="21"/>
  <c r="U12" i="20"/>
  <c r="V12" i="20" s="1"/>
  <c r="U14" i="20"/>
  <c r="V14" i="20" s="1"/>
  <c r="U16" i="20"/>
  <c r="V16" i="20" s="1"/>
  <c r="U15" i="20"/>
  <c r="V15" i="20" s="1"/>
  <c r="U13" i="20"/>
  <c r="V13" i="20" s="1"/>
  <c r="U11" i="20"/>
  <c r="V11" i="20" s="1"/>
  <c r="H14" i="14"/>
  <c r="G14" i="14"/>
  <c r="G15" i="14"/>
  <c r="H15" i="14"/>
  <c r="C26" i="14"/>
  <c r="N11" i="14"/>
  <c r="B38" i="14"/>
  <c r="B39" i="14" s="1"/>
  <c r="F38" i="14"/>
  <c r="D33" i="14"/>
  <c r="M13" i="14"/>
  <c r="G11" i="14"/>
  <c r="G24" i="14"/>
  <c r="H23" i="14"/>
  <c r="H26" i="14" s="1"/>
  <c r="C21" i="14"/>
  <c r="C17" i="14"/>
  <c r="G13" i="14"/>
  <c r="G25" i="14"/>
  <c r="B33" i="14"/>
  <c r="H19" i="14"/>
  <c r="H21" i="14" s="1"/>
  <c r="B27" i="14"/>
  <c r="D53" i="14" s="1"/>
  <c r="G19" i="14"/>
  <c r="M12" i="14"/>
  <c r="N12" i="14"/>
  <c r="G23" i="14"/>
  <c r="A26" i="14"/>
  <c r="I13" i="14"/>
  <c r="I17" i="14" s="1"/>
  <c r="D27" i="14"/>
  <c r="G20" i="14"/>
  <c r="I11" i="14"/>
  <c r="I19" i="14"/>
  <c r="I20" i="14"/>
  <c r="I26" i="14"/>
  <c r="E26" i="14"/>
  <c r="E17" i="14"/>
  <c r="E21" i="14"/>
  <c r="G12" i="14"/>
  <c r="P11" i="14"/>
  <c r="P16" i="14"/>
  <c r="P24" i="14"/>
  <c r="P23" i="14"/>
  <c r="P22" i="14"/>
  <c r="P21" i="14"/>
  <c r="P20" i="14"/>
  <c r="P19" i="14"/>
  <c r="P15" i="14"/>
  <c r="P13" i="14"/>
  <c r="P14" i="14"/>
  <c r="P12" i="14"/>
  <c r="A21" i="14"/>
  <c r="A17" i="14"/>
  <c r="M11" i="14"/>
  <c r="O5" i="21" l="1"/>
  <c r="D43" i="14"/>
  <c r="M5" i="21"/>
  <c r="F39" i="14"/>
  <c r="H43" i="14" s="1"/>
  <c r="H44" i="14"/>
  <c r="H17" i="14"/>
  <c r="M20" i="14"/>
  <c r="M22" i="14"/>
  <c r="H50" i="14"/>
  <c r="H52" i="14" s="1"/>
  <c r="G26" i="14"/>
  <c r="M30" i="14" s="1"/>
  <c r="M14" i="14"/>
  <c r="C27" i="14"/>
  <c r="H33" i="14"/>
  <c r="G21" i="14"/>
  <c r="A33" i="14"/>
  <c r="G17" i="14"/>
  <c r="E27" i="14"/>
  <c r="I21" i="14"/>
  <c r="N14" i="14"/>
  <c r="A27" i="14"/>
  <c r="D47" i="14" l="1"/>
  <c r="N23" i="14"/>
  <c r="N20" i="14"/>
  <c r="N27" i="14"/>
  <c r="D50" i="14"/>
  <c r="N29" i="14"/>
  <c r="D44" i="14"/>
  <c r="H27" i="14"/>
  <c r="N5" i="21"/>
  <c r="I6" i="21"/>
  <c r="K6" i="21"/>
  <c r="N26" i="14"/>
  <c r="H49" i="14"/>
  <c r="H47" i="14"/>
  <c r="N18" i="14" s="1"/>
  <c r="M21" i="14"/>
  <c r="M24" i="14" s="1"/>
  <c r="M28" i="14"/>
  <c r="B53" i="14"/>
  <c r="M29" i="14"/>
  <c r="I33" i="14"/>
  <c r="N43" i="14"/>
  <c r="N44" i="14"/>
  <c r="N22" i="14"/>
  <c r="G27" i="14"/>
  <c r="G33" i="14"/>
  <c r="I27" i="14"/>
  <c r="N17" i="14" l="1"/>
  <c r="N41" i="14"/>
  <c r="D56" i="14"/>
  <c r="O6" i="21"/>
  <c r="C52" i="14"/>
  <c r="C51" i="14"/>
  <c r="M6" i="21"/>
  <c r="B54" i="14"/>
  <c r="D55" i="14" s="1"/>
  <c r="H61" i="14"/>
  <c r="H60" i="14"/>
  <c r="N19" i="14"/>
  <c r="M23" i="14"/>
  <c r="M42" i="14" s="1"/>
  <c r="M34" i="14"/>
  <c r="M35" i="14"/>
  <c r="N40" i="14"/>
  <c r="Q22" i="14"/>
  <c r="R22" i="14" s="1"/>
  <c r="Q23" i="14"/>
  <c r="R23" i="14" s="1"/>
  <c r="I7" i="21" l="1"/>
  <c r="K7" i="21"/>
  <c r="O7" i="21" s="1"/>
  <c r="N6" i="21"/>
  <c r="N16" i="14"/>
  <c r="M37" i="14"/>
  <c r="D60" i="14"/>
  <c r="M41" i="14"/>
  <c r="Q20" i="14"/>
  <c r="R20" i="14" s="1"/>
  <c r="Q19" i="14"/>
  <c r="R19" i="14" s="1"/>
  <c r="Q24" i="14"/>
  <c r="R24" i="14" s="1"/>
  <c r="Q21" i="14"/>
  <c r="R21" i="14" s="1"/>
  <c r="N14" i="9"/>
  <c r="N17" i="9"/>
  <c r="N16" i="9"/>
  <c r="N26" i="9"/>
  <c r="N25" i="9"/>
  <c r="N24" i="9"/>
  <c r="N30" i="9"/>
  <c r="N27" i="9"/>
  <c r="N15" i="9"/>
  <c r="H20" i="9"/>
  <c r="H27" i="9"/>
  <c r="H24" i="9"/>
  <c r="H14" i="9"/>
  <c r="H13" i="9"/>
  <c r="H12" i="9"/>
  <c r="H11" i="9"/>
  <c r="M7" i="21" l="1"/>
  <c r="M36" i="14"/>
  <c r="M40" i="14"/>
  <c r="M43" i="14" s="1"/>
  <c r="D61" i="14"/>
  <c r="D59" i="14"/>
  <c r="C61" i="14" s="1"/>
  <c r="G34" i="9"/>
  <c r="G33" i="9"/>
  <c r="J37" i="9"/>
  <c r="I37" i="9"/>
  <c r="H37" i="9"/>
  <c r="E37" i="9"/>
  <c r="C37" i="9"/>
  <c r="B37" i="9"/>
  <c r="A37" i="9"/>
  <c r="F5" i="9"/>
  <c r="H5" i="9"/>
  <c r="H4" i="9"/>
  <c r="F4" i="9"/>
  <c r="K31" i="9"/>
  <c r="O31" i="9"/>
  <c r="K29" i="9"/>
  <c r="K28" i="9"/>
  <c r="K30" i="9"/>
  <c r="K26" i="9"/>
  <c r="K27" i="9"/>
  <c r="K25" i="9"/>
  <c r="F36" i="9"/>
  <c r="F35" i="9"/>
  <c r="F34" i="9"/>
  <c r="F33" i="9"/>
  <c r="D36" i="9"/>
  <c r="D35" i="9"/>
  <c r="D33" i="9"/>
  <c r="D34" i="9"/>
  <c r="O44" i="9"/>
  <c r="K44" i="9"/>
  <c r="K43" i="9"/>
  <c r="K39" i="9"/>
  <c r="K38" i="9"/>
  <c r="K40" i="9"/>
  <c r="K41" i="9"/>
  <c r="K42" i="9"/>
  <c r="N59" i="9"/>
  <c r="M59" i="9"/>
  <c r="L59" i="9"/>
  <c r="K65" i="9"/>
  <c r="K64" i="9"/>
  <c r="K63" i="9"/>
  <c r="K62" i="9"/>
  <c r="K61" i="9"/>
  <c r="K60" i="9"/>
  <c r="K59" i="9"/>
  <c r="K58" i="9"/>
  <c r="K50" i="9"/>
  <c r="O38" i="9"/>
  <c r="O39" i="9"/>
  <c r="K37" i="9"/>
  <c r="K36" i="9"/>
  <c r="I8" i="21" l="1"/>
  <c r="K8" i="21"/>
  <c r="M8" i="21" s="1"/>
  <c r="N7" i="21"/>
  <c r="F37" i="9"/>
  <c r="D37" i="9"/>
  <c r="G38" i="9"/>
  <c r="G37" i="9"/>
  <c r="A32" i="9"/>
  <c r="G31" i="9"/>
  <c r="A30" i="9"/>
  <c r="A18" i="9"/>
  <c r="A22" i="9"/>
  <c r="M4" i="9"/>
  <c r="J51" i="12"/>
  <c r="E51" i="12"/>
  <c r="A51" i="12"/>
  <c r="J50" i="12"/>
  <c r="E50" i="12"/>
  <c r="A50" i="12"/>
  <c r="J49" i="12"/>
  <c r="E49" i="12"/>
  <c r="A49" i="12"/>
  <c r="J48" i="12"/>
  <c r="H48" i="12"/>
  <c r="E48" i="12"/>
  <c r="D48" i="12"/>
  <c r="A48" i="12"/>
  <c r="J47" i="12"/>
  <c r="E47" i="12"/>
  <c r="A47" i="12"/>
  <c r="J46" i="12"/>
  <c r="E46" i="12"/>
  <c r="A46" i="12"/>
  <c r="M45" i="12"/>
  <c r="L45" i="12"/>
  <c r="K45" i="12"/>
  <c r="J45" i="12"/>
  <c r="H45" i="12"/>
  <c r="E45" i="12"/>
  <c r="D45" i="12"/>
  <c r="A45" i="12"/>
  <c r="J44" i="12"/>
  <c r="E44" i="12"/>
  <c r="A44" i="12"/>
  <c r="J43" i="12"/>
  <c r="E43" i="12"/>
  <c r="A43" i="12"/>
  <c r="J42" i="12"/>
  <c r="H42" i="12"/>
  <c r="E42" i="12"/>
  <c r="D42" i="12"/>
  <c r="A42" i="12"/>
  <c r="J41" i="12"/>
  <c r="E41" i="12"/>
  <c r="A41" i="12"/>
  <c r="J40" i="12"/>
  <c r="H40" i="12"/>
  <c r="E40" i="12"/>
  <c r="A40" i="12"/>
  <c r="J39" i="12"/>
  <c r="E39" i="12"/>
  <c r="A39" i="12"/>
  <c r="J38" i="12"/>
  <c r="E38" i="12"/>
  <c r="A38" i="12"/>
  <c r="M37" i="12"/>
  <c r="L37" i="12"/>
  <c r="K37" i="12"/>
  <c r="J37" i="12"/>
  <c r="G37" i="12"/>
  <c r="F37" i="12"/>
  <c r="E37" i="12"/>
  <c r="C37" i="12"/>
  <c r="A37" i="12"/>
  <c r="J36" i="12"/>
  <c r="H36" i="12"/>
  <c r="G36" i="12"/>
  <c r="F36" i="12"/>
  <c r="E36" i="12"/>
  <c r="C36" i="12"/>
  <c r="A36" i="12"/>
  <c r="J35" i="12"/>
  <c r="G35" i="12"/>
  <c r="E35" i="12"/>
  <c r="C35" i="12"/>
  <c r="A35" i="12"/>
  <c r="J34" i="12"/>
  <c r="G34" i="12"/>
  <c r="E34" i="12"/>
  <c r="C34" i="12"/>
  <c r="A34" i="12"/>
  <c r="J33" i="12"/>
  <c r="E33" i="12"/>
  <c r="A33" i="12"/>
  <c r="J32" i="12"/>
  <c r="N31" i="12"/>
  <c r="J31" i="12"/>
  <c r="H31" i="12"/>
  <c r="C31" i="12"/>
  <c r="B31" i="12"/>
  <c r="N30" i="12"/>
  <c r="J30" i="12"/>
  <c r="H30" i="12"/>
  <c r="D30" i="12"/>
  <c r="C30" i="12"/>
  <c r="B30" i="12"/>
  <c r="J29" i="12"/>
  <c r="I29" i="12"/>
  <c r="H29" i="12"/>
  <c r="G29" i="12"/>
  <c r="E29" i="12"/>
  <c r="C29" i="12"/>
  <c r="N28" i="12"/>
  <c r="J28" i="12"/>
  <c r="I28" i="12"/>
  <c r="H28" i="12"/>
  <c r="G28" i="12"/>
  <c r="E28" i="12"/>
  <c r="C28" i="12"/>
  <c r="J27" i="12"/>
  <c r="I27" i="12"/>
  <c r="H27" i="12"/>
  <c r="G27" i="12"/>
  <c r="E27" i="12"/>
  <c r="C27" i="12"/>
  <c r="J26" i="12"/>
  <c r="I26" i="12"/>
  <c r="H26" i="12"/>
  <c r="G26" i="12"/>
  <c r="E26" i="12"/>
  <c r="C26" i="12"/>
  <c r="N25" i="12"/>
  <c r="J25" i="12"/>
  <c r="I25" i="12"/>
  <c r="H25" i="12"/>
  <c r="E25" i="12"/>
  <c r="G25" i="12" s="1"/>
  <c r="C25" i="12"/>
  <c r="J24" i="12"/>
  <c r="I24" i="12"/>
  <c r="I30" i="12" s="1"/>
  <c r="H47" i="12" s="1"/>
  <c r="H49" i="12" s="1"/>
  <c r="H24" i="12"/>
  <c r="E24" i="12"/>
  <c r="E30" i="12" s="1"/>
  <c r="C24" i="12"/>
  <c r="A24" i="12"/>
  <c r="G24" i="12" s="1"/>
  <c r="J23" i="12"/>
  <c r="N22" i="12"/>
  <c r="J22" i="12"/>
  <c r="H22" i="12"/>
  <c r="D22" i="12"/>
  <c r="C22" i="12"/>
  <c r="B22" i="12"/>
  <c r="H21" i="12"/>
  <c r="E21" i="12"/>
  <c r="I21" i="12" s="1"/>
  <c r="C21" i="12"/>
  <c r="H20" i="12"/>
  <c r="E20" i="12"/>
  <c r="E22" i="12" s="1"/>
  <c r="C20" i="12"/>
  <c r="A20" i="12"/>
  <c r="A22" i="12" s="1"/>
  <c r="J19" i="12"/>
  <c r="J18" i="12"/>
  <c r="H18" i="12"/>
  <c r="D18" i="12"/>
  <c r="D31" i="12" s="1"/>
  <c r="C18" i="12"/>
  <c r="B18" i="12"/>
  <c r="J17" i="12"/>
  <c r="H17" i="12"/>
  <c r="E17" i="12"/>
  <c r="I17" i="12" s="1"/>
  <c r="C17" i="12"/>
  <c r="J16" i="12"/>
  <c r="H16" i="12"/>
  <c r="E16" i="12"/>
  <c r="I16" i="12" s="1"/>
  <c r="C16" i="12"/>
  <c r="A16" i="12"/>
  <c r="I15" i="12"/>
  <c r="H15" i="12"/>
  <c r="E15" i="12"/>
  <c r="C15" i="12"/>
  <c r="A15" i="12"/>
  <c r="G15" i="12" s="1"/>
  <c r="I14" i="12"/>
  <c r="H14" i="12"/>
  <c r="G14" i="12"/>
  <c r="E14" i="12"/>
  <c r="C14" i="12"/>
  <c r="J13" i="12"/>
  <c r="I13" i="12"/>
  <c r="H13" i="12"/>
  <c r="G13" i="12"/>
  <c r="E13" i="12"/>
  <c r="C13" i="12"/>
  <c r="J12" i="12"/>
  <c r="I12" i="12"/>
  <c r="H12" i="12"/>
  <c r="G12" i="12"/>
  <c r="E12" i="12"/>
  <c r="C12" i="12"/>
  <c r="H11" i="12"/>
  <c r="G11" i="12"/>
  <c r="E11" i="12"/>
  <c r="I11" i="12" s="1"/>
  <c r="C11" i="12"/>
  <c r="I10" i="12"/>
  <c r="H10" i="12"/>
  <c r="E10" i="12"/>
  <c r="D10" i="12"/>
  <c r="C10" i="12"/>
  <c r="B10" i="12"/>
  <c r="H8" i="12"/>
  <c r="I8" i="12" s="1"/>
  <c r="K38" i="12" s="1"/>
  <c r="E8" i="12"/>
  <c r="C8" i="12"/>
  <c r="M4" i="12"/>
  <c r="C4" i="12"/>
  <c r="K22" i="9"/>
  <c r="K21" i="9"/>
  <c r="K20" i="9"/>
  <c r="K19" i="9"/>
  <c r="K49" i="9"/>
  <c r="K48" i="9"/>
  <c r="C30" i="9"/>
  <c r="C22" i="9"/>
  <c r="C18" i="9"/>
  <c r="F44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G45" i="9"/>
  <c r="G42" i="9"/>
  <c r="E42" i="9"/>
  <c r="E41" i="9"/>
  <c r="H16" i="9" s="1"/>
  <c r="D16" i="9"/>
  <c r="A8" i="3"/>
  <c r="A8" i="6"/>
  <c r="J6" i="6"/>
  <c r="K6" i="6" s="1"/>
  <c r="G6" i="6"/>
  <c r="D25" i="9"/>
  <c r="I25" i="9" s="1"/>
  <c r="F25" i="9"/>
  <c r="J25" i="9"/>
  <c r="O34" i="9"/>
  <c r="K34" i="9"/>
  <c r="K33" i="9"/>
  <c r="O33" i="9"/>
  <c r="O8" i="21" l="1"/>
  <c r="A38" i="9"/>
  <c r="C38" i="9"/>
  <c r="A31" i="9"/>
  <c r="G17" i="12"/>
  <c r="M27" i="12"/>
  <c r="G20" i="12"/>
  <c r="G16" i="12"/>
  <c r="A30" i="12"/>
  <c r="N13" i="12"/>
  <c r="N29" i="12" s="1"/>
  <c r="N11" i="12"/>
  <c r="M13" i="12"/>
  <c r="M12" i="12"/>
  <c r="N12" i="12"/>
  <c r="N26" i="12" s="1"/>
  <c r="G30" i="12"/>
  <c r="I18" i="12"/>
  <c r="K41" i="12"/>
  <c r="K42" i="12"/>
  <c r="K43" i="12"/>
  <c r="A18" i="12"/>
  <c r="E18" i="12"/>
  <c r="E31" i="12" s="1"/>
  <c r="G21" i="12"/>
  <c r="M24" i="12"/>
  <c r="K46" i="12"/>
  <c r="K47" i="12"/>
  <c r="K48" i="12"/>
  <c r="K49" i="12"/>
  <c r="K50" i="12"/>
  <c r="K51" i="12"/>
  <c r="M21" i="12"/>
  <c r="K39" i="12"/>
  <c r="K40" i="12"/>
  <c r="M14" i="12"/>
  <c r="I20" i="12"/>
  <c r="I22" i="12" s="1"/>
  <c r="H44" i="12" s="1"/>
  <c r="H46" i="12" s="1"/>
  <c r="B36" i="12"/>
  <c r="B37" i="12" s="1"/>
  <c r="D40" i="12" s="1"/>
  <c r="M11" i="12"/>
  <c r="H25" i="9"/>
  <c r="K15" i="9"/>
  <c r="J29" i="9"/>
  <c r="J28" i="9"/>
  <c r="J27" i="9"/>
  <c r="J26" i="9"/>
  <c r="J24" i="9"/>
  <c r="O11" i="9" l="1"/>
  <c r="K9" i="21"/>
  <c r="I9" i="21"/>
  <c r="N8" i="21"/>
  <c r="D47" i="12"/>
  <c r="D49" i="12" s="1"/>
  <c r="K11" i="9"/>
  <c r="K12" i="9"/>
  <c r="K13" i="9"/>
  <c r="A31" i="12"/>
  <c r="G18" i="12"/>
  <c r="G22" i="12"/>
  <c r="N14" i="12"/>
  <c r="N27" i="12"/>
  <c r="H41" i="12"/>
  <c r="H43" i="12" s="1"/>
  <c r="N18" i="12"/>
  <c r="N19" i="12"/>
  <c r="I31" i="12"/>
  <c r="N21" i="12"/>
  <c r="D44" i="12"/>
  <c r="D46" i="12" s="1"/>
  <c r="D41" i="12"/>
  <c r="N24" i="12"/>
  <c r="H56" i="9"/>
  <c r="H50" i="9"/>
  <c r="H53" i="9"/>
  <c r="K47" i="9"/>
  <c r="K46" i="9"/>
  <c r="G44" i="9"/>
  <c r="C44" i="9"/>
  <c r="A44" i="9"/>
  <c r="E44" i="9"/>
  <c r="J10" i="9"/>
  <c r="F10" i="9"/>
  <c r="E30" i="9"/>
  <c r="E22" i="9"/>
  <c r="E18" i="9"/>
  <c r="E10" i="9"/>
  <c r="E45" i="9"/>
  <c r="G43" i="9"/>
  <c r="E43" i="9"/>
  <c r="L3" i="10"/>
  <c r="L2" i="10"/>
  <c r="H5" i="4"/>
  <c r="G5" i="4"/>
  <c r="F5" i="4"/>
  <c r="E5" i="4"/>
  <c r="D5" i="4"/>
  <c r="D10" i="9"/>
  <c r="D56" i="9"/>
  <c r="D53" i="9"/>
  <c r="A53" i="9"/>
  <c r="A54" i="9"/>
  <c r="A57" i="9"/>
  <c r="A56" i="9"/>
  <c r="A59" i="9"/>
  <c r="A58" i="9"/>
  <c r="A55" i="9"/>
  <c r="A52" i="9"/>
  <c r="A51" i="9"/>
  <c r="A50" i="9"/>
  <c r="A49" i="9"/>
  <c r="D50" i="9"/>
  <c r="K16" i="9"/>
  <c r="I10" i="9"/>
  <c r="C10" i="9"/>
  <c r="C45" i="9"/>
  <c r="D29" i="9"/>
  <c r="A48" i="9"/>
  <c r="A45" i="9"/>
  <c r="I2" i="10"/>
  <c r="H2" i="10"/>
  <c r="C2" i="10"/>
  <c r="B2" i="10"/>
  <c r="A47" i="9"/>
  <c r="A46" i="9"/>
  <c r="A41" i="9"/>
  <c r="A43" i="9"/>
  <c r="C43" i="9"/>
  <c r="C42" i="9"/>
  <c r="A42" i="9"/>
  <c r="H17" i="9" s="1"/>
  <c r="I8" i="9"/>
  <c r="J8" i="9" s="1"/>
  <c r="F8" i="9"/>
  <c r="J6" i="3"/>
  <c r="K6" i="3" s="1"/>
  <c r="G6" i="3"/>
  <c r="E39" i="6"/>
  <c r="B36" i="3"/>
  <c r="J11" i="3" l="1"/>
  <c r="J31" i="3"/>
  <c r="J34" i="3"/>
  <c r="J30" i="3"/>
  <c r="J33" i="3"/>
  <c r="J29" i="3"/>
  <c r="J32" i="3"/>
  <c r="M9" i="21"/>
  <c r="N9" i="21" s="1"/>
  <c r="O9" i="21"/>
  <c r="G31" i="12"/>
  <c r="E38" i="9"/>
  <c r="L63" i="9"/>
  <c r="L62" i="9"/>
  <c r="L65" i="9"/>
  <c r="L61" i="9"/>
  <c r="L64" i="9"/>
  <c r="L60" i="9"/>
  <c r="D43" i="12"/>
  <c r="N16" i="12"/>
  <c r="N17" i="12"/>
  <c r="N34" i="12"/>
  <c r="N35" i="12"/>
  <c r="N23" i="12"/>
  <c r="H51" i="12"/>
  <c r="H50" i="12"/>
  <c r="I29" i="9"/>
  <c r="F27" i="9"/>
  <c r="E31" i="9"/>
  <c r="F15" i="9"/>
  <c r="J15" i="9" s="1"/>
  <c r="F16" i="9"/>
  <c r="J16" i="9" s="1"/>
  <c r="F28" i="9"/>
  <c r="F11" i="9"/>
  <c r="F21" i="9"/>
  <c r="J21" i="9" s="1"/>
  <c r="F12" i="9"/>
  <c r="J12" i="9" s="1"/>
  <c r="F24" i="9"/>
  <c r="F13" i="9"/>
  <c r="J13" i="9" s="1"/>
  <c r="F17" i="9"/>
  <c r="J17" i="9" s="1"/>
  <c r="F29" i="9"/>
  <c r="H29" i="9" s="1"/>
  <c r="F14" i="9"/>
  <c r="J14" i="9" s="1"/>
  <c r="F20" i="9"/>
  <c r="J20" i="9" s="1"/>
  <c r="F26" i="9"/>
  <c r="I16" i="9"/>
  <c r="D15" i="9"/>
  <c r="D17" i="9"/>
  <c r="I17" i="9" s="1"/>
  <c r="D11" i="9"/>
  <c r="D26" i="9"/>
  <c r="D20" i="9"/>
  <c r="D21" i="9"/>
  <c r="D24" i="9"/>
  <c r="D12" i="9"/>
  <c r="D27" i="9"/>
  <c r="D13" i="9"/>
  <c r="D28" i="9"/>
  <c r="D14" i="9"/>
  <c r="K32" i="9"/>
  <c r="K57" i="9"/>
  <c r="K56" i="9"/>
  <c r="H15" i="9"/>
  <c r="K55" i="9"/>
  <c r="K54" i="9"/>
  <c r="K53" i="9"/>
  <c r="K52" i="9"/>
  <c r="N51" i="9"/>
  <c r="M51" i="9"/>
  <c r="L51" i="9"/>
  <c r="K51" i="9"/>
  <c r="C8" i="9"/>
  <c r="C4" i="9"/>
  <c r="I20" i="6"/>
  <c r="I15" i="3"/>
  <c r="K10" i="21" l="1"/>
  <c r="I10" i="21"/>
  <c r="L50" i="12"/>
  <c r="M50" i="12" s="1"/>
  <c r="L48" i="12"/>
  <c r="M48" i="12" s="1"/>
  <c r="L46" i="12"/>
  <c r="M46" i="12" s="1"/>
  <c r="N33" i="12"/>
  <c r="N32" i="12"/>
  <c r="L51" i="12"/>
  <c r="M51" i="12" s="1"/>
  <c r="L49" i="12"/>
  <c r="M49" i="12" s="1"/>
  <c r="L47" i="12"/>
  <c r="M47" i="12" s="1"/>
  <c r="D51" i="12"/>
  <c r="D50" i="12"/>
  <c r="J11" i="9"/>
  <c r="J18" i="9" s="1"/>
  <c r="F45" i="9"/>
  <c r="H48" i="9" s="1"/>
  <c r="B44" i="9"/>
  <c r="I27" i="9"/>
  <c r="I12" i="9"/>
  <c r="I26" i="9"/>
  <c r="H26" i="9"/>
  <c r="I28" i="9"/>
  <c r="H28" i="9"/>
  <c r="I24" i="9"/>
  <c r="I13" i="9"/>
  <c r="H21" i="9"/>
  <c r="I21" i="9"/>
  <c r="I11" i="9"/>
  <c r="I20" i="9"/>
  <c r="I14" i="9"/>
  <c r="F22" i="9"/>
  <c r="I15" i="9"/>
  <c r="F30" i="9"/>
  <c r="F18" i="9"/>
  <c r="J30" i="9"/>
  <c r="J22" i="9"/>
  <c r="D22" i="9"/>
  <c r="D30" i="9"/>
  <c r="D18" i="9"/>
  <c r="B30" i="9"/>
  <c r="L57" i="9"/>
  <c r="L56" i="9"/>
  <c r="L55" i="9"/>
  <c r="L53" i="9"/>
  <c r="L52" i="9"/>
  <c r="L54" i="9"/>
  <c r="B18" i="9"/>
  <c r="B22" i="9"/>
  <c r="D13" i="3"/>
  <c r="H12" i="3"/>
  <c r="D12" i="3"/>
  <c r="I25" i="6"/>
  <c r="I24" i="6"/>
  <c r="I23" i="6"/>
  <c r="I22" i="6"/>
  <c r="I21" i="6"/>
  <c r="L19" i="6"/>
  <c r="K19" i="6"/>
  <c r="J19" i="6"/>
  <c r="I19" i="6"/>
  <c r="I16" i="6"/>
  <c r="I15" i="6"/>
  <c r="I14" i="6"/>
  <c r="I13" i="6"/>
  <c r="I12" i="6"/>
  <c r="I11" i="6"/>
  <c r="L10" i="6"/>
  <c r="K10" i="6"/>
  <c r="J10" i="6"/>
  <c r="I10" i="6"/>
  <c r="I18" i="6"/>
  <c r="I9" i="6"/>
  <c r="C8" i="6"/>
  <c r="C8" i="3"/>
  <c r="I16" i="3"/>
  <c r="I14" i="3"/>
  <c r="I13" i="3"/>
  <c r="I12" i="3"/>
  <c r="I11" i="3"/>
  <c r="L10" i="3"/>
  <c r="K10" i="3"/>
  <c r="J10" i="3"/>
  <c r="I10" i="3"/>
  <c r="H19" i="6"/>
  <c r="D19" i="6"/>
  <c r="I26" i="4" a="1"/>
  <c r="I26" i="4" s="1"/>
  <c r="I27" i="4" a="1"/>
  <c r="I27" i="4" s="1"/>
  <c r="I30" i="4" a="1"/>
  <c r="I30" i="4" s="1"/>
  <c r="I31" i="4" a="1"/>
  <c r="I31" i="4" s="1"/>
  <c r="M10" i="21" l="1"/>
  <c r="O10" i="21"/>
  <c r="D38" i="9"/>
  <c r="J38" i="9"/>
  <c r="B38" i="9"/>
  <c r="F38" i="9"/>
  <c r="L43" i="12"/>
  <c r="M43" i="12" s="1"/>
  <c r="L41" i="12"/>
  <c r="M41" i="12" s="1"/>
  <c r="L39" i="12"/>
  <c r="M39" i="12" s="1"/>
  <c r="L38" i="12"/>
  <c r="M38" i="12" s="1"/>
  <c r="L42" i="12"/>
  <c r="M42" i="12" s="1"/>
  <c r="L40" i="12"/>
  <c r="M40" i="12" s="1"/>
  <c r="H52" i="9"/>
  <c r="H54" i="9" s="1"/>
  <c r="H49" i="9"/>
  <c r="F31" i="9"/>
  <c r="H55" i="9"/>
  <c r="H57" i="9" s="1"/>
  <c r="I18" i="9"/>
  <c r="I22" i="9"/>
  <c r="J31" i="9"/>
  <c r="I30" i="9"/>
  <c r="D31" i="9"/>
  <c r="C31" i="9"/>
  <c r="B45" i="9" s="1"/>
  <c r="D48" i="9" s="1"/>
  <c r="H18" i="9"/>
  <c r="H22" i="9"/>
  <c r="B31" i="9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4" i="4"/>
  <c r="I33" i="4"/>
  <c r="I32" i="4"/>
  <c r="I29" i="4"/>
  <c r="I28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35" i="4"/>
  <c r="C17" i="6"/>
  <c r="C21" i="6"/>
  <c r="C16" i="3"/>
  <c r="G15" i="6"/>
  <c r="B14" i="1"/>
  <c r="D14" i="1" s="1"/>
  <c r="C14" i="3"/>
  <c r="B39" i="8"/>
  <c r="A39" i="8"/>
  <c r="D38" i="8"/>
  <c r="D37" i="8"/>
  <c r="D36" i="8"/>
  <c r="D35" i="8"/>
  <c r="D34" i="8"/>
  <c r="I33" i="8"/>
  <c r="D33" i="8"/>
  <c r="B30" i="8"/>
  <c r="D29" i="8"/>
  <c r="D28" i="8"/>
  <c r="D27" i="8"/>
  <c r="D26" i="8"/>
  <c r="D25" i="8"/>
  <c r="D21" i="8"/>
  <c r="B20" i="8"/>
  <c r="B22" i="8" s="1"/>
  <c r="D17" i="8"/>
  <c r="B16" i="8"/>
  <c r="B15" i="8"/>
  <c r="D14" i="8"/>
  <c r="D12" i="8"/>
  <c r="D11" i="8"/>
  <c r="D7" i="8"/>
  <c r="D6" i="8"/>
  <c r="D5" i="8"/>
  <c r="D3" i="8"/>
  <c r="J2" i="8"/>
  <c r="D2" i="8"/>
  <c r="B39" i="7"/>
  <c r="A39" i="7"/>
  <c r="D38" i="7"/>
  <c r="D37" i="7"/>
  <c r="D36" i="7"/>
  <c r="D35" i="7"/>
  <c r="D34" i="7"/>
  <c r="I33" i="7"/>
  <c r="D33" i="7"/>
  <c r="B30" i="7"/>
  <c r="D29" i="7"/>
  <c r="D28" i="7"/>
  <c r="D27" i="7"/>
  <c r="D26" i="7"/>
  <c r="D25" i="7"/>
  <c r="D21" i="7"/>
  <c r="B20" i="7"/>
  <c r="B22" i="7" s="1"/>
  <c r="D17" i="7"/>
  <c r="B16" i="7"/>
  <c r="B15" i="7"/>
  <c r="D14" i="7"/>
  <c r="D12" i="7"/>
  <c r="D11" i="7"/>
  <c r="D7" i="7"/>
  <c r="D6" i="7"/>
  <c r="D5" i="7"/>
  <c r="D3" i="7"/>
  <c r="J2" i="7"/>
  <c r="D2" i="7"/>
  <c r="A39" i="6"/>
  <c r="C38" i="6"/>
  <c r="C37" i="6"/>
  <c r="C36" i="6"/>
  <c r="C35" i="6"/>
  <c r="C34" i="6"/>
  <c r="C33" i="6"/>
  <c r="H24" i="6"/>
  <c r="A30" i="6"/>
  <c r="C29" i="6"/>
  <c r="C28" i="6"/>
  <c r="C27" i="6"/>
  <c r="C26" i="6"/>
  <c r="C25" i="6"/>
  <c r="C24" i="6"/>
  <c r="C16" i="6"/>
  <c r="C14" i="6"/>
  <c r="C13" i="6"/>
  <c r="C12" i="6"/>
  <c r="C11" i="6"/>
  <c r="C4" i="6"/>
  <c r="A39" i="5"/>
  <c r="C38" i="5"/>
  <c r="C37" i="5"/>
  <c r="C36" i="5"/>
  <c r="C35" i="5"/>
  <c r="C34" i="5"/>
  <c r="C33" i="5"/>
  <c r="H30" i="5"/>
  <c r="A30" i="5"/>
  <c r="C29" i="5"/>
  <c r="C28" i="5"/>
  <c r="C27" i="5"/>
  <c r="C26" i="5"/>
  <c r="C25" i="5"/>
  <c r="C24" i="5"/>
  <c r="C21" i="5"/>
  <c r="C20" i="5"/>
  <c r="H18" i="5"/>
  <c r="G17" i="5" a="1"/>
  <c r="G17" i="5" s="1"/>
  <c r="C17" i="5"/>
  <c r="C16" i="5"/>
  <c r="H15" i="5"/>
  <c r="C14" i="5"/>
  <c r="C13" i="5"/>
  <c r="H12" i="5"/>
  <c r="C12" i="5"/>
  <c r="C11" i="5"/>
  <c r="C8" i="5"/>
  <c r="J6" i="5"/>
  <c r="K6" i="5" s="1"/>
  <c r="C4" i="5"/>
  <c r="C5" i="4"/>
  <c r="B5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B39" i="1"/>
  <c r="A39" i="1"/>
  <c r="D38" i="1"/>
  <c r="D37" i="1"/>
  <c r="D36" i="1"/>
  <c r="D35" i="1"/>
  <c r="D34" i="1"/>
  <c r="D33" i="1"/>
  <c r="I33" i="1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C29" i="3"/>
  <c r="C28" i="3"/>
  <c r="C27" i="3"/>
  <c r="C26" i="3"/>
  <c r="C25" i="3"/>
  <c r="C21" i="3"/>
  <c r="C17" i="3"/>
  <c r="C13" i="3"/>
  <c r="C12" i="3"/>
  <c r="C11" i="3"/>
  <c r="C4" i="3"/>
  <c r="D29" i="1"/>
  <c r="D28" i="1"/>
  <c r="D27" i="1"/>
  <c r="D26" i="1"/>
  <c r="D25" i="1"/>
  <c r="D12" i="1"/>
  <c r="D11" i="1"/>
  <c r="N10" i="21" l="1"/>
  <c r="D39" i="8"/>
  <c r="K11" i="21"/>
  <c r="I11" i="21"/>
  <c r="A13" i="8" a="1"/>
  <c r="A13" i="8" s="1"/>
  <c r="D13" i="8" s="1"/>
  <c r="I10" i="8"/>
  <c r="O11" i="20"/>
  <c r="I38" i="9"/>
  <c r="A13" i="7" a="1"/>
  <c r="A13" i="7" s="1"/>
  <c r="D13" i="7" s="1"/>
  <c r="N24" i="6"/>
  <c r="M19" i="6"/>
  <c r="M15" i="6"/>
  <c r="M11" i="6"/>
  <c r="M20" i="6"/>
  <c r="M16" i="6"/>
  <c r="M12" i="6"/>
  <c r="M22" i="6"/>
  <c r="M18" i="6"/>
  <c r="M14" i="6"/>
  <c r="M17" i="6"/>
  <c r="M13" i="6"/>
  <c r="M21" i="6"/>
  <c r="A17" i="1" a="1"/>
  <c r="A17" i="1" s="1"/>
  <c r="D17" i="1" s="1"/>
  <c r="C30" i="5"/>
  <c r="D39" i="7"/>
  <c r="D39" i="1"/>
  <c r="C39" i="5"/>
  <c r="N9" i="6"/>
  <c r="M23" i="6"/>
  <c r="M25" i="6"/>
  <c r="D21" i="1"/>
  <c r="A15" i="1" a="1"/>
  <c r="A15" i="1" s="1"/>
  <c r="D15" i="1" s="1"/>
  <c r="C22" i="5"/>
  <c r="H14" i="5" s="1"/>
  <c r="H16" i="5" s="1"/>
  <c r="H51" i="9"/>
  <c r="H59" i="9" s="1"/>
  <c r="O21" i="9"/>
  <c r="O22" i="9"/>
  <c r="I31" i="9"/>
  <c r="H15" i="6"/>
  <c r="J14" i="6"/>
  <c r="J15" i="6"/>
  <c r="J25" i="6"/>
  <c r="J24" i="6"/>
  <c r="J16" i="6"/>
  <c r="A30" i="3"/>
  <c r="A22" i="3"/>
  <c r="J20" i="6"/>
  <c r="J12" i="6"/>
  <c r="J13" i="6"/>
  <c r="J23" i="6"/>
  <c r="J11" i="6"/>
  <c r="J22" i="6"/>
  <c r="J21" i="6"/>
  <c r="J16" i="3"/>
  <c r="J12" i="3"/>
  <c r="J15" i="3"/>
  <c r="J14" i="3"/>
  <c r="J13" i="3"/>
  <c r="A22" i="6"/>
  <c r="G18" i="6"/>
  <c r="G13" i="6"/>
  <c r="C30" i="6"/>
  <c r="C39" i="6"/>
  <c r="C20" i="6"/>
  <c r="B18" i="8"/>
  <c r="B31" i="8" s="1"/>
  <c r="A18" i="3"/>
  <c r="A20" i="8" a="1"/>
  <c r="A20" i="8" s="1"/>
  <c r="D20" i="8" s="1"/>
  <c r="D22" i="8" s="1"/>
  <c r="A15" i="7" a="1"/>
  <c r="A15" i="7" s="1"/>
  <c r="D15" i="7" s="1"/>
  <c r="I10" i="7"/>
  <c r="A16" i="7" a="1"/>
  <c r="A16" i="7" s="1"/>
  <c r="D16" i="7" s="1"/>
  <c r="A18" i="5"/>
  <c r="A16" i="8" a="1"/>
  <c r="A16" i="8" s="1"/>
  <c r="D16" i="8" s="1"/>
  <c r="A18" i="6"/>
  <c r="A20" i="7" a="1"/>
  <c r="A20" i="7" s="1"/>
  <c r="D20" i="7" s="1"/>
  <c r="D22" i="7" s="1"/>
  <c r="A15" i="8" a="1"/>
  <c r="A15" i="8" s="1"/>
  <c r="D15" i="8" s="1"/>
  <c r="A24" i="8" a="1"/>
  <c r="A24" i="8" s="1"/>
  <c r="D24" i="8" s="1"/>
  <c r="D30" i="8" s="1"/>
  <c r="A24" i="7" a="1"/>
  <c r="A24" i="7" s="1"/>
  <c r="D24" i="7" s="1"/>
  <c r="D30" i="7" s="1"/>
  <c r="H10" i="3"/>
  <c r="D4" i="7"/>
  <c r="K6" i="1"/>
  <c r="L6" i="1" s="1"/>
  <c r="D8" i="1"/>
  <c r="I17" i="8"/>
  <c r="I14" i="1"/>
  <c r="I17" i="1"/>
  <c r="D4" i="1"/>
  <c r="I20" i="1"/>
  <c r="D8" i="8"/>
  <c r="D8" i="7"/>
  <c r="K6" i="8"/>
  <c r="L6" i="8" s="1"/>
  <c r="I17" i="7"/>
  <c r="I14" i="8"/>
  <c r="D4" i="8"/>
  <c r="I20" i="8"/>
  <c r="B18" i="7"/>
  <c r="I14" i="7"/>
  <c r="K6" i="7"/>
  <c r="L6" i="7" s="1"/>
  <c r="I20" i="7"/>
  <c r="H10" i="6"/>
  <c r="C15" i="6"/>
  <c r="G11" i="6"/>
  <c r="J21" i="5"/>
  <c r="J15" i="5"/>
  <c r="J13" i="5"/>
  <c r="J25" i="5"/>
  <c r="J12" i="5"/>
  <c r="J33" i="5"/>
  <c r="J43" i="5"/>
  <c r="J39" i="5"/>
  <c r="J30" i="5"/>
  <c r="J23" i="5"/>
  <c r="J42" i="5"/>
  <c r="J32" i="5"/>
  <c r="J20" i="5"/>
  <c r="J22" i="5"/>
  <c r="J16" i="5"/>
  <c r="J14" i="5"/>
  <c r="J41" i="5"/>
  <c r="J34" i="5"/>
  <c r="J38" i="5"/>
  <c r="J31" i="5"/>
  <c r="J29" i="5"/>
  <c r="J40" i="5"/>
  <c r="J24" i="5"/>
  <c r="J11" i="5"/>
  <c r="A22" i="5"/>
  <c r="G14" i="5"/>
  <c r="H10" i="5"/>
  <c r="C15" i="5"/>
  <c r="C18" i="5" s="1"/>
  <c r="G11" i="5"/>
  <c r="D16" i="1"/>
  <c r="A24" i="1" a="1"/>
  <c r="A24" i="1" s="1"/>
  <c r="D24" i="1" s="1"/>
  <c r="D30" i="1" s="1"/>
  <c r="J5" i="4"/>
  <c r="O12" i="20" s="1"/>
  <c r="I5" i="4"/>
  <c r="D13" i="1"/>
  <c r="C24" i="3"/>
  <c r="C30" i="3" s="1"/>
  <c r="H17" i="3" s="1"/>
  <c r="C20" i="3"/>
  <c r="C22" i="3" s="1"/>
  <c r="H14" i="3" s="1"/>
  <c r="H16" i="3" s="1"/>
  <c r="G11" i="3"/>
  <c r="C15" i="3"/>
  <c r="C18" i="3" s="1"/>
  <c r="B30" i="1"/>
  <c r="B22" i="1"/>
  <c r="B18" i="1"/>
  <c r="H19" i="3" l="1"/>
  <c r="H25" i="3" s="1"/>
  <c r="K29" i="3"/>
  <c r="H24" i="3"/>
  <c r="M11" i="21"/>
  <c r="N11" i="21" s="1"/>
  <c r="H17" i="6"/>
  <c r="H21" i="6"/>
  <c r="O11" i="21"/>
  <c r="O13" i="20"/>
  <c r="A22" i="1"/>
  <c r="H17" i="5"/>
  <c r="H19" i="5" s="1"/>
  <c r="K41" i="1"/>
  <c r="K15" i="1"/>
  <c r="K33" i="1"/>
  <c r="K16" i="1"/>
  <c r="K25" i="1"/>
  <c r="K43" i="1"/>
  <c r="K42" i="1"/>
  <c r="K34" i="1"/>
  <c r="K24" i="1"/>
  <c r="O14" i="6"/>
  <c r="O13" i="6"/>
  <c r="O12" i="6"/>
  <c r="O11" i="6"/>
  <c r="O23" i="6"/>
  <c r="O22" i="6"/>
  <c r="O17" i="6"/>
  <c r="O21" i="6"/>
  <c r="O18" i="6"/>
  <c r="O16" i="6"/>
  <c r="O20" i="6"/>
  <c r="O19" i="6"/>
  <c r="O24" i="6"/>
  <c r="O15" i="6"/>
  <c r="O12" i="9"/>
  <c r="O13" i="9" s="1"/>
  <c r="O14" i="9" s="1"/>
  <c r="I11" i="1"/>
  <c r="B40" i="8"/>
  <c r="H58" i="9"/>
  <c r="D51" i="9"/>
  <c r="O49" i="9"/>
  <c r="O48" i="9"/>
  <c r="A31" i="3"/>
  <c r="A40" i="6"/>
  <c r="C18" i="6"/>
  <c r="H20" i="6"/>
  <c r="H16" i="6"/>
  <c r="H11" i="6"/>
  <c r="C22" i="6"/>
  <c r="H13" i="6"/>
  <c r="A40" i="5"/>
  <c r="A31" i="6"/>
  <c r="A22" i="7"/>
  <c r="A18" i="8"/>
  <c r="A18" i="7"/>
  <c r="A22" i="8"/>
  <c r="A31" i="5"/>
  <c r="D18" i="8"/>
  <c r="D40" i="8" s="1"/>
  <c r="D18" i="7"/>
  <c r="D40" i="7" s="1"/>
  <c r="A30" i="8"/>
  <c r="A30" i="7"/>
  <c r="A30" i="1"/>
  <c r="I11" i="8"/>
  <c r="I12" i="8" s="1"/>
  <c r="I19" i="8" s="1"/>
  <c r="I21" i="8" s="1"/>
  <c r="I11" i="7"/>
  <c r="I12" i="7" s="1"/>
  <c r="K31" i="1"/>
  <c r="K20" i="1"/>
  <c r="K29" i="1"/>
  <c r="K40" i="1"/>
  <c r="K11" i="1"/>
  <c r="K32" i="1"/>
  <c r="K14" i="1"/>
  <c r="K21" i="1"/>
  <c r="K13" i="1"/>
  <c r="K12" i="1"/>
  <c r="K22" i="1"/>
  <c r="K38" i="1"/>
  <c r="K23" i="1"/>
  <c r="K30" i="1"/>
  <c r="K39" i="1"/>
  <c r="C31" i="3"/>
  <c r="K15" i="8"/>
  <c r="K21" i="8"/>
  <c r="K40" i="8"/>
  <c r="K34" i="8"/>
  <c r="K20" i="8"/>
  <c r="K13" i="8"/>
  <c r="K11" i="8"/>
  <c r="K14" i="8"/>
  <c r="K43" i="8"/>
  <c r="K31" i="8"/>
  <c r="K29" i="8"/>
  <c r="K22" i="8"/>
  <c r="K38" i="8"/>
  <c r="K24" i="8"/>
  <c r="K16" i="8"/>
  <c r="K30" i="8"/>
  <c r="K42" i="8"/>
  <c r="K33" i="8"/>
  <c r="K12" i="8"/>
  <c r="K39" i="8"/>
  <c r="K41" i="8"/>
  <c r="K23" i="8"/>
  <c r="K32" i="8"/>
  <c r="K25" i="8"/>
  <c r="K15" i="7"/>
  <c r="K40" i="7"/>
  <c r="K34" i="7"/>
  <c r="K20" i="7"/>
  <c r="K13" i="7"/>
  <c r="K11" i="7"/>
  <c r="K43" i="7"/>
  <c r="K31" i="7"/>
  <c r="K29" i="7"/>
  <c r="K22" i="7"/>
  <c r="K25" i="7"/>
  <c r="K38" i="7"/>
  <c r="K24" i="7"/>
  <c r="K33" i="7"/>
  <c r="K32" i="7"/>
  <c r="K16" i="7"/>
  <c r="K42" i="7"/>
  <c r="K41" i="7"/>
  <c r="K39" i="7"/>
  <c r="K30" i="7"/>
  <c r="K21" i="7"/>
  <c r="K14" i="7"/>
  <c r="K12" i="7"/>
  <c r="K23" i="7"/>
  <c r="B40" i="7"/>
  <c r="B31" i="7"/>
  <c r="C40" i="5"/>
  <c r="C31" i="5"/>
  <c r="H11" i="5"/>
  <c r="D20" i="1"/>
  <c r="D22" i="1" s="1"/>
  <c r="B40" i="1"/>
  <c r="I10" i="1" s="1"/>
  <c r="A18" i="1"/>
  <c r="D18" i="1"/>
  <c r="H11" i="3"/>
  <c r="B31" i="1"/>
  <c r="K32" i="3" l="1"/>
  <c r="L32" i="3" s="1"/>
  <c r="K30" i="3"/>
  <c r="L30" i="3" s="1"/>
  <c r="K34" i="3"/>
  <c r="L34" i="3" s="1"/>
  <c r="K33" i="3"/>
  <c r="L33" i="3" s="1"/>
  <c r="L29" i="3"/>
  <c r="K31" i="3"/>
  <c r="L31" i="3" s="1"/>
  <c r="H27" i="3"/>
  <c r="H28" i="3"/>
  <c r="K25" i="6"/>
  <c r="L25" i="6" s="1"/>
  <c r="K23" i="6"/>
  <c r="L23" i="6" s="1"/>
  <c r="K21" i="6"/>
  <c r="K16" i="6"/>
  <c r="L16" i="6" s="1"/>
  <c r="K14" i="6"/>
  <c r="L14" i="6" s="1"/>
  <c r="K12" i="6"/>
  <c r="L12" i="6" s="1"/>
  <c r="H28" i="6"/>
  <c r="H26" i="6"/>
  <c r="K12" i="21"/>
  <c r="I12" i="21"/>
  <c r="O14" i="20"/>
  <c r="O15" i="20"/>
  <c r="O16" i="20"/>
  <c r="O25" i="6"/>
  <c r="O15" i="9"/>
  <c r="O18" i="9" s="1"/>
  <c r="I12" i="1"/>
  <c r="O16" i="9"/>
  <c r="D55" i="9" s="1"/>
  <c r="D57" i="9" s="1"/>
  <c r="O30" i="9"/>
  <c r="Q30" i="9" s="1"/>
  <c r="O25" i="9"/>
  <c r="O27" i="9"/>
  <c r="Q27" i="9" s="1"/>
  <c r="O24" i="9"/>
  <c r="D49" i="9"/>
  <c r="M64" i="9"/>
  <c r="N64" i="9" s="1"/>
  <c r="M60" i="9"/>
  <c r="N60" i="9" s="1"/>
  <c r="M62" i="9"/>
  <c r="N62" i="9" s="1"/>
  <c r="M63" i="9"/>
  <c r="N63" i="9" s="1"/>
  <c r="M65" i="9"/>
  <c r="N65" i="9" s="1"/>
  <c r="M61" i="9"/>
  <c r="N61" i="9" s="1"/>
  <c r="K20" i="6"/>
  <c r="L20" i="6" s="1"/>
  <c r="K15" i="6"/>
  <c r="L15" i="6" s="1"/>
  <c r="K24" i="6"/>
  <c r="L24" i="6" s="1"/>
  <c r="K11" i="6"/>
  <c r="L11" i="6" s="1"/>
  <c r="K22" i="6"/>
  <c r="L22" i="6" s="1"/>
  <c r="K13" i="6"/>
  <c r="L13" i="6" s="1"/>
  <c r="L21" i="6"/>
  <c r="H13" i="3"/>
  <c r="C40" i="6"/>
  <c r="C31" i="6"/>
  <c r="H27" i="6"/>
  <c r="H25" i="6"/>
  <c r="A40" i="7"/>
  <c r="A31" i="8"/>
  <c r="A40" i="8"/>
  <c r="A31" i="7"/>
  <c r="D31" i="7"/>
  <c r="I34" i="7" s="1"/>
  <c r="I36" i="7" s="1"/>
  <c r="I35" i="7"/>
  <c r="I37" i="7" s="1"/>
  <c r="L41" i="7" s="1"/>
  <c r="M41" i="7" s="1"/>
  <c r="D31" i="8"/>
  <c r="I34" i="8" s="1"/>
  <c r="I36" i="8" s="1"/>
  <c r="D40" i="1"/>
  <c r="A31" i="1"/>
  <c r="A40" i="1"/>
  <c r="I16" i="8"/>
  <c r="I18" i="8" s="1"/>
  <c r="I16" i="7"/>
  <c r="I18" i="7" s="1"/>
  <c r="I19" i="7"/>
  <c r="I21" i="7" s="1"/>
  <c r="I13" i="8"/>
  <c r="I13" i="7"/>
  <c r="I15" i="7" s="1"/>
  <c r="I35" i="8"/>
  <c r="I37" i="8" s="1"/>
  <c r="L43" i="8" s="1"/>
  <c r="M43" i="8" s="1"/>
  <c r="H30" i="6"/>
  <c r="K33" i="5"/>
  <c r="L33" i="5" s="1"/>
  <c r="K21" i="5"/>
  <c r="L21" i="5" s="1"/>
  <c r="H13" i="5"/>
  <c r="H21" i="5"/>
  <c r="H36" i="5" s="1"/>
  <c r="K30" i="5"/>
  <c r="L30" i="5" s="1"/>
  <c r="K23" i="5"/>
  <c r="L23" i="5" s="1"/>
  <c r="K32" i="5"/>
  <c r="L32" i="5" s="1"/>
  <c r="K25" i="5"/>
  <c r="L25" i="5" s="1"/>
  <c r="K20" i="5"/>
  <c r="L20" i="5" s="1"/>
  <c r="K22" i="5"/>
  <c r="L22" i="5" s="1"/>
  <c r="K34" i="5"/>
  <c r="L34" i="5" s="1"/>
  <c r="H32" i="5"/>
  <c r="H34" i="5" s="1"/>
  <c r="H22" i="5"/>
  <c r="K31" i="5"/>
  <c r="L31" i="5" s="1"/>
  <c r="K29" i="5"/>
  <c r="L29" i="5" s="1"/>
  <c r="K24" i="5"/>
  <c r="L24" i="5" s="1"/>
  <c r="H31" i="5"/>
  <c r="H33" i="5" s="1"/>
  <c r="H27" i="5"/>
  <c r="D31" i="1"/>
  <c r="K21" i="3" l="1"/>
  <c r="K22" i="3"/>
  <c r="K20" i="3"/>
  <c r="L20" i="3" s="1"/>
  <c r="K25" i="3"/>
  <c r="K24" i="3"/>
  <c r="L24" i="3" s="1"/>
  <c r="K23" i="3"/>
  <c r="L23" i="3" s="1"/>
  <c r="K15" i="3"/>
  <c r="L15" i="3" s="1"/>
  <c r="K14" i="3"/>
  <c r="L14" i="3" s="1"/>
  <c r="H21" i="3"/>
  <c r="K11" i="3"/>
  <c r="L11" i="3" s="1"/>
  <c r="K13" i="3"/>
  <c r="L13" i="3" s="1"/>
  <c r="K12" i="3"/>
  <c r="L12" i="3" s="1"/>
  <c r="H22" i="3"/>
  <c r="K16" i="3"/>
  <c r="L16" i="3" s="1"/>
  <c r="M12" i="21"/>
  <c r="L25" i="3"/>
  <c r="L21" i="3"/>
  <c r="L22" i="3"/>
  <c r="O12" i="21"/>
  <c r="O30" i="20"/>
  <c r="Q30" i="20" s="1"/>
  <c r="D55" i="20"/>
  <c r="O27" i="20"/>
  <c r="Q27" i="20" s="1"/>
  <c r="D52" i="20"/>
  <c r="O18" i="20"/>
  <c r="O24" i="20"/>
  <c r="D49" i="20"/>
  <c r="O17" i="20"/>
  <c r="D52" i="9"/>
  <c r="D54" i="9" s="1"/>
  <c r="O17" i="9"/>
  <c r="I16" i="1"/>
  <c r="I18" i="1" s="1"/>
  <c r="O26" i="9"/>
  <c r="O28" i="9" s="1"/>
  <c r="O29" i="9" s="1"/>
  <c r="O36" i="9"/>
  <c r="O37" i="9"/>
  <c r="Q24" i="9"/>
  <c r="O46" i="9"/>
  <c r="O47" i="9"/>
  <c r="M57" i="9" s="1"/>
  <c r="N57" i="9" s="1"/>
  <c r="P24" i="9"/>
  <c r="I34" i="1"/>
  <c r="I36" i="1" s="1"/>
  <c r="L38" i="1" s="1"/>
  <c r="I35" i="1"/>
  <c r="I37" i="1" s="1"/>
  <c r="I13" i="1"/>
  <c r="I19" i="1"/>
  <c r="I21" i="1" s="1"/>
  <c r="O32" i="9"/>
  <c r="L43" i="7"/>
  <c r="M43" i="7" s="1"/>
  <c r="L39" i="7"/>
  <c r="M39" i="7" s="1"/>
  <c r="L21" i="7"/>
  <c r="M21" i="7" s="1"/>
  <c r="L23" i="7"/>
  <c r="M23" i="7" s="1"/>
  <c r="L22" i="7"/>
  <c r="M22" i="7" s="1"/>
  <c r="L33" i="7"/>
  <c r="M33" i="7" s="1"/>
  <c r="L30" i="7"/>
  <c r="M30" i="7" s="1"/>
  <c r="L25" i="7"/>
  <c r="M25" i="7" s="1"/>
  <c r="L20" i="8"/>
  <c r="M20" i="8" s="1"/>
  <c r="I24" i="7"/>
  <c r="I23" i="7"/>
  <c r="I39" i="7" s="1"/>
  <c r="L32" i="7"/>
  <c r="M32" i="7" s="1"/>
  <c r="L34" i="7"/>
  <c r="M34" i="7" s="1"/>
  <c r="L31" i="7"/>
  <c r="M31" i="7" s="1"/>
  <c r="L32" i="8"/>
  <c r="M32" i="8" s="1"/>
  <c r="L24" i="8"/>
  <c r="M24" i="8" s="1"/>
  <c r="L31" i="8"/>
  <c r="M31" i="8" s="1"/>
  <c r="L39" i="8"/>
  <c r="M39" i="8" s="1"/>
  <c r="L21" i="8"/>
  <c r="M21" i="8" s="1"/>
  <c r="L23" i="8"/>
  <c r="M23" i="8" s="1"/>
  <c r="L34" i="8"/>
  <c r="M34" i="8" s="1"/>
  <c r="L30" i="8"/>
  <c r="M30" i="8" s="1"/>
  <c r="L22" i="8"/>
  <c r="M22" i="8" s="1"/>
  <c r="I23" i="8"/>
  <c r="I39" i="8" s="1"/>
  <c r="I24" i="8"/>
  <c r="L29" i="8"/>
  <c r="M29" i="8" s="1"/>
  <c r="L41" i="8"/>
  <c r="M41" i="8" s="1"/>
  <c r="L24" i="7"/>
  <c r="M24" i="7" s="1"/>
  <c r="L29" i="7"/>
  <c r="M29" i="7" s="1"/>
  <c r="L20" i="7"/>
  <c r="M20" i="7" s="1"/>
  <c r="L25" i="8"/>
  <c r="M25" i="8" s="1"/>
  <c r="L33" i="8"/>
  <c r="M33" i="8" s="1"/>
  <c r="I15" i="8"/>
  <c r="L13" i="8" s="1"/>
  <c r="M13" i="8" s="1"/>
  <c r="L40" i="8"/>
  <c r="M40" i="8" s="1"/>
  <c r="I40" i="8"/>
  <c r="L38" i="8"/>
  <c r="M38" i="8" s="1"/>
  <c r="L42" i="8"/>
  <c r="M42" i="8" s="1"/>
  <c r="L40" i="7"/>
  <c r="M40" i="7" s="1"/>
  <c r="I40" i="7"/>
  <c r="L38" i="7"/>
  <c r="M38" i="7" s="1"/>
  <c r="L42" i="7"/>
  <c r="M42" i="7" s="1"/>
  <c r="L13" i="7"/>
  <c r="M13" i="7" s="1"/>
  <c r="L11" i="7"/>
  <c r="M11" i="7" s="1"/>
  <c r="I26" i="7"/>
  <c r="L16" i="7"/>
  <c r="M16" i="7" s="1"/>
  <c r="L14" i="7"/>
  <c r="M14" i="7" s="1"/>
  <c r="L12" i="7"/>
  <c r="M12" i="7" s="1"/>
  <c r="I27" i="7"/>
  <c r="L15" i="7"/>
  <c r="M15" i="7" s="1"/>
  <c r="H31" i="6"/>
  <c r="H37" i="5"/>
  <c r="H38" i="5" s="1"/>
  <c r="K42" i="5"/>
  <c r="L42" i="5" s="1"/>
  <c r="K38" i="5"/>
  <c r="L38" i="5" s="1"/>
  <c r="K40" i="5"/>
  <c r="L40" i="5" s="1"/>
  <c r="K43" i="5"/>
  <c r="L43" i="5" s="1"/>
  <c r="K39" i="5"/>
  <c r="L39" i="5" s="1"/>
  <c r="K41" i="5"/>
  <c r="L41" i="5" s="1"/>
  <c r="H24" i="5"/>
  <c r="K15" i="5"/>
  <c r="L15" i="5" s="1"/>
  <c r="K13" i="5"/>
  <c r="L13" i="5" s="1"/>
  <c r="K16" i="5"/>
  <c r="L16" i="5" s="1"/>
  <c r="K14" i="5"/>
  <c r="L14" i="5" s="1"/>
  <c r="K11" i="5"/>
  <c r="L11" i="5" s="1"/>
  <c r="K12" i="5"/>
  <c r="L12" i="5" s="1"/>
  <c r="H25" i="5"/>
  <c r="I13" i="21" l="1"/>
  <c r="K13" i="21"/>
  <c r="N12" i="21"/>
  <c r="D59" i="9"/>
  <c r="O20" i="9"/>
  <c r="D58" i="9"/>
  <c r="O19" i="9"/>
  <c r="O20" i="20"/>
  <c r="D58" i="20"/>
  <c r="D59" i="20"/>
  <c r="O19" i="20"/>
  <c r="Q24" i="20"/>
  <c r="O46" i="20"/>
  <c r="R24" i="20"/>
  <c r="O47" i="20"/>
  <c r="P24" i="20"/>
  <c r="L32" i="1"/>
  <c r="M32" i="1" s="1"/>
  <c r="I24" i="1"/>
  <c r="L30" i="1"/>
  <c r="M30" i="1" s="1"/>
  <c r="L23" i="1"/>
  <c r="M23" i="1" s="1"/>
  <c r="L34" i="1"/>
  <c r="M34" i="1" s="1"/>
  <c r="R24" i="9"/>
  <c r="I23" i="1"/>
  <c r="I39" i="1" s="1"/>
  <c r="I15" i="1"/>
  <c r="L12" i="1" s="1"/>
  <c r="M12" i="1" s="1"/>
  <c r="L25" i="1"/>
  <c r="M25" i="1" s="1"/>
  <c r="L21" i="1"/>
  <c r="M21" i="1" s="1"/>
  <c r="L20" i="1"/>
  <c r="M20" i="1" s="1"/>
  <c r="L24" i="1"/>
  <c r="M24" i="1" s="1"/>
  <c r="L33" i="1"/>
  <c r="M33" i="1" s="1"/>
  <c r="L22" i="1"/>
  <c r="M22" i="1" s="1"/>
  <c r="L31" i="1"/>
  <c r="M31" i="1" s="1"/>
  <c r="L29" i="1"/>
  <c r="M29" i="1" s="1"/>
  <c r="M53" i="9"/>
  <c r="N53" i="9" s="1"/>
  <c r="M55" i="9"/>
  <c r="N55" i="9" s="1"/>
  <c r="I41" i="7"/>
  <c r="H32" i="6"/>
  <c r="G32" i="6"/>
  <c r="G38" i="5"/>
  <c r="L15" i="8"/>
  <c r="M15" i="8" s="1"/>
  <c r="L16" i="8"/>
  <c r="M16" i="8" s="1"/>
  <c r="I41" i="8"/>
  <c r="L14" i="8"/>
  <c r="M14" i="8" s="1"/>
  <c r="I27" i="8"/>
  <c r="L12" i="8"/>
  <c r="M12" i="8" s="1"/>
  <c r="L11" i="8"/>
  <c r="M11" i="8" s="1"/>
  <c r="H41" i="7"/>
  <c r="I26" i="8"/>
  <c r="H41" i="8"/>
  <c r="I40" i="1"/>
  <c r="L39" i="1"/>
  <c r="M39" i="1" s="1"/>
  <c r="M13" i="21" l="1"/>
  <c r="O13" i="21"/>
  <c r="L14" i="1"/>
  <c r="M14" i="1" s="1"/>
  <c r="I27" i="1"/>
  <c r="I26" i="1"/>
  <c r="L13" i="1"/>
  <c r="M13" i="1" s="1"/>
  <c r="L15" i="1"/>
  <c r="M15" i="1" s="1"/>
  <c r="L16" i="1"/>
  <c r="M16" i="1" s="1"/>
  <c r="L11" i="1"/>
  <c r="M11" i="1" s="1"/>
  <c r="I41" i="1"/>
  <c r="H41" i="1"/>
  <c r="L40" i="1"/>
  <c r="M40" i="1" s="1"/>
  <c r="L42" i="1"/>
  <c r="M42" i="1" s="1"/>
  <c r="M38" i="1"/>
  <c r="L41" i="1"/>
  <c r="M41" i="1" s="1"/>
  <c r="L43" i="1"/>
  <c r="M43" i="1" s="1"/>
  <c r="H30" i="9"/>
  <c r="H38" i="9" s="1"/>
  <c r="N13" i="21" l="1"/>
  <c r="K14" i="21"/>
  <c r="I14" i="21"/>
  <c r="H31" i="9"/>
  <c r="M14" i="21" l="1"/>
  <c r="O14" i="21"/>
  <c r="I15" i="21" s="1"/>
  <c r="M54" i="9"/>
  <c r="N54" i="9" s="1"/>
  <c r="M56" i="9"/>
  <c r="N56" i="9" s="1"/>
  <c r="M52" i="9"/>
  <c r="N52" i="9" s="1"/>
  <c r="L44" i="14"/>
  <c r="K15" i="21" l="1"/>
  <c r="N14" i="21"/>
  <c r="O9" i="14"/>
  <c r="Q12" i="14"/>
  <c r="Q16" i="14"/>
  <c r="Q14" i="14"/>
  <c r="M44" i="14"/>
  <c r="M15" i="21" l="1"/>
  <c r="N15" i="21" s="1"/>
  <c r="O15" i="21"/>
  <c r="Q15" i="14"/>
  <c r="R15" i="14" s="1"/>
  <c r="R14" i="14"/>
  <c r="R12" i="14"/>
  <c r="Q11" i="14"/>
  <c r="R11" i="14" s="1"/>
  <c r="R16" i="14"/>
  <c r="Q13" i="14"/>
  <c r="R13" i="14" s="1"/>
  <c r="J42" i="19"/>
  <c r="J44" i="19"/>
  <c r="N21" i="19"/>
  <c r="N23" i="19" s="1"/>
  <c r="J40" i="19"/>
  <c r="B16" i="17"/>
  <c r="K16" i="21" l="1"/>
  <c r="I16" i="21"/>
  <c r="M16" i="21" l="1"/>
  <c r="N16" i="21" s="1"/>
  <c r="O16" i="21"/>
  <c r="K17" i="21" l="1"/>
  <c r="I17" i="21"/>
  <c r="M17" i="21" l="1"/>
  <c r="N17" i="21" s="1"/>
  <c r="O17" i="21"/>
  <c r="K18" i="21" s="1"/>
  <c r="M18" i="21" l="1"/>
  <c r="O18" i="21"/>
  <c r="K19" i="21" s="1"/>
  <c r="O19" i="21" s="1"/>
  <c r="K20" i="21" s="1"/>
  <c r="I18" i="21"/>
  <c r="N18" i="21" l="1"/>
  <c r="I19" i="21" l="1"/>
  <c r="M19" i="21" l="1"/>
  <c r="N19" i="21" s="1"/>
  <c r="O20" i="21" l="1"/>
  <c r="K21" i="21" s="1"/>
  <c r="I20" i="21"/>
  <c r="M20" i="21" l="1"/>
  <c r="N20" i="21" s="1"/>
  <c r="O21" i="21" l="1"/>
  <c r="K22" i="21" s="1"/>
  <c r="I21" i="21"/>
  <c r="M21" i="21" l="1"/>
  <c r="N21" i="21" s="1"/>
  <c r="O22" i="21" l="1"/>
  <c r="K23" i="21" s="1"/>
  <c r="I22" i="21"/>
  <c r="M22" i="21" l="1"/>
  <c r="O23" i="21" l="1"/>
  <c r="K24" i="21" s="1"/>
  <c r="J23" i="21"/>
  <c r="I23" i="21"/>
  <c r="N23" i="21"/>
  <c r="N22" i="21"/>
  <c r="N24" i="21"/>
  <c r="O24" i="21" l="1"/>
  <c r="J24" i="21" l="1"/>
  <c r="I24" i="21"/>
  <c r="E79" i="22"/>
  <c r="E80" i="22" s="1"/>
  <c r="E83" i="22" l="1"/>
  <c r="E84" i="22" s="1"/>
  <c r="E87" i="22" l="1"/>
  <c r="E88" i="22" s="1"/>
  <c r="E91" i="22" l="1"/>
  <c r="E92" i="22" s="1"/>
  <c r="E95" i="22" l="1"/>
  <c r="E96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J6" authorId="0" shapeId="0" xr:uid="{AF99B0C6-027D-4A37-A5A0-8E0A7CA3EAC6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J10" authorId="0" shapeId="0" xr:uid="{724D511F-4DE5-4059-BAE0-F111739FE16D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J6" authorId="0" shapeId="0" xr:uid="{6418A7AF-4432-4C24-91EE-77476F32984B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J10" authorId="0" shapeId="0" xr:uid="{AD506AC2-1B53-4788-A579-C513897EA46C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H8" authorId="0" shapeId="0" xr:uid="{B32518E3-6C4E-41CF-A46F-E54E6642E5E6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P10" authorId="0" shapeId="0" xr:uid="{27173411-3E24-46FC-BDD0-BA9C214F59EF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K6" authorId="0" shapeId="0" xr:uid="{B1763B99-BA17-4858-96CE-2EE7110D3C5F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K10" authorId="0" shapeId="0" xr:uid="{A5F3682A-C323-4C4B-9647-EED20967E601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I6" authorId="0" shapeId="0" xr:uid="{FB434015-7F76-48B2-93BB-FB1904311B95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J6" authorId="0" shapeId="0" xr:uid="{14085EB7-A674-4C29-833B-9C4BD7F0CA5A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J10" authorId="0" shapeId="0" xr:uid="{6593FD0E-DE43-43D3-AD3E-67D5BBB2A7AF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H8" authorId="0" shapeId="0" xr:uid="{BA5B836E-995C-4A81-8401-36C1C9096BF5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K37" authorId="0" shapeId="0" xr:uid="{BE21E5E5-7A66-40FF-AFC0-60B83C868A45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I8" authorId="0" shapeId="0" xr:uid="{BCA6B0DE-9F42-40E1-9A1B-E711738781C6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T10" authorId="0" shapeId="0" xr:uid="{5B5CD680-1233-4D6D-A6F1-8C1F8DE31297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I8" authorId="0" shapeId="0" xr:uid="{BCA6B0DE-9F42-40E1-9A1B-E711738781C6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L51" authorId="0" shapeId="0" xr:uid="{5B5CD680-1233-4D6D-A6F1-8C1F8DE31297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K6" authorId="0" shapeId="0" xr:uid="{86E6825B-FA20-4EB4-9512-683545C4E6EB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K10" authorId="0" shapeId="0" xr:uid="{24E0377D-A562-492A-8ACE-E7C57FCC8AB8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Miles</author>
  </authors>
  <commentList>
    <comment ref="K6" authorId="0" shapeId="0" xr:uid="{169FC4DC-7F41-42B8-8CE6-917B450EC0AA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N/A if no spouse DOB, gets positive year difference between member and spouse if born on the same month, then no difference if 0 or no other conditions are met.</t>
        </r>
      </text>
    </comment>
    <comment ref="K10" authorId="0" shapeId="0" xr:uid="{F5989A56-A058-4CCA-B2F4-619C8571B5B7}">
      <text>
        <r>
          <rPr>
            <b/>
            <sz val="9"/>
            <color indexed="81"/>
            <rFont val="Tahoma"/>
            <family val="2"/>
          </rPr>
          <t>Alex Miles:</t>
        </r>
        <r>
          <rPr>
            <sz val="9"/>
            <color indexed="81"/>
            <rFont val="Tahoma"/>
            <family val="2"/>
          </rPr>
          <t xml:space="preserve">
H&amp;W Factor obtained by subtraction by J6 if K6 says "Younger." or adds by J6 if K6 says "Older."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<sst xmlns="http://schemas.openxmlformats.org/spreadsheetml/2006/main" count="1296" uniqueCount="494">
  <si>
    <t>Member ID:</t>
  </si>
  <si>
    <t>Member Name:</t>
  </si>
  <si>
    <t>Member Age at Retirement:</t>
  </si>
  <si>
    <t>Spouse Name:</t>
  </si>
  <si>
    <t>Spouse Age at Retirement:</t>
  </si>
  <si>
    <t>Spouse Date of Birth:</t>
  </si>
  <si>
    <t>Member Date of Birth:</t>
  </si>
  <si>
    <t>Member Retirement Date:</t>
  </si>
  <si>
    <t>Credits Earned Prior to 09/01/2011</t>
  </si>
  <si>
    <t>Rate</t>
  </si>
  <si>
    <t>Value</t>
  </si>
  <si>
    <t>Subtotal</t>
  </si>
  <si>
    <t>Credits Earned On or After 09/01/2011</t>
  </si>
  <si>
    <t>Credits Earned On or After 10/01/2014</t>
  </si>
  <si>
    <t>Benefit Calculation</t>
  </si>
  <si>
    <t>Member Benefit Prior to 09/01/2011</t>
  </si>
  <si>
    <t>ER Factor</t>
  </si>
  <si>
    <t>ER Benefit Prior to 09/01/2011</t>
  </si>
  <si>
    <t>Member Benefit on or After 09/01/2011</t>
  </si>
  <si>
    <t>ER Benefit on or After 09/01/2011</t>
  </si>
  <si>
    <t>Member Benefit on or After 10/01/2014</t>
  </si>
  <si>
    <t>ER Benefit on or After 10/01/2014</t>
  </si>
  <si>
    <t>Early H&amp;W Pension Options</t>
  </si>
  <si>
    <t>Option</t>
  </si>
  <si>
    <t>Factor</t>
  </si>
  <si>
    <t>13th Check</t>
  </si>
  <si>
    <t>Member Benefit</t>
  </si>
  <si>
    <t>Spouse Benefit</t>
  </si>
  <si>
    <t>Disability H&amp;W Pension Options</t>
  </si>
  <si>
    <t>Early Retirement Pension Amount</t>
  </si>
  <si>
    <t>Processed By:</t>
  </si>
  <si>
    <t>Checked By:</t>
  </si>
  <si>
    <t>Regular, Service, Disability or Delayed Calc 1 Amount</t>
  </si>
  <si>
    <t>Total Pension Credits</t>
  </si>
  <si>
    <t>Spouse Age Difference from Member:</t>
  </si>
  <si>
    <t>CA Credits</t>
  </si>
  <si>
    <t>PR Credits</t>
  </si>
  <si>
    <t>Total</t>
  </si>
  <si>
    <t>PRO RATA CALCULATION WORKSHEET</t>
  </si>
  <si>
    <t xml:space="preserve">Participant Name: </t>
  </si>
  <si>
    <t xml:space="preserve">ID: </t>
  </si>
  <si>
    <t>Combined PC</t>
  </si>
  <si>
    <t>Plan Year</t>
  </si>
  <si>
    <t>CA</t>
  </si>
  <si>
    <t>(1PC max / $)</t>
  </si>
  <si>
    <t>(combined/elig/%)</t>
  </si>
  <si>
    <t>2012a</t>
  </si>
  <si>
    <t>2012b</t>
  </si>
  <si>
    <t>2015a</t>
  </si>
  <si>
    <t>2015b</t>
  </si>
  <si>
    <t>Totals</t>
  </si>
  <si>
    <t>Total Pro-Rata Credits:</t>
  </si>
  <si>
    <t>Total CIFPT Pension Credits:</t>
  </si>
  <si>
    <t>Pro-Rata Factor:</t>
  </si>
  <si>
    <t>Pro-Rata Member Benefit Prior to 09/01/2011</t>
  </si>
  <si>
    <t>Pro-Rata ER Benefit Prior to 09/01/2011</t>
  </si>
  <si>
    <t>Pro-Rata ER Benefit on or After 09/01/2011</t>
  </si>
  <si>
    <t>Pro-Rata Member Benefit on or After 10/01/2014</t>
  </si>
  <si>
    <t>Pro-Rata ER Benefit on or After 10/01/2014</t>
  </si>
  <si>
    <t>Pro-Rata Member Benefit on or After 09/01/2011</t>
  </si>
  <si>
    <t>Pro-Rata Regular, Service, Disability or Delayed Calc 1 Amount</t>
  </si>
  <si>
    <t>Pro-Rata 13th Check</t>
  </si>
  <si>
    <t>Pro-Rata Early Retirement Pension Amount</t>
  </si>
  <si>
    <t>Pro-Rata Early 13th Check</t>
  </si>
  <si>
    <t>Months between age 65 &amp; 70 with 40 hours or less (1.00%):</t>
  </si>
  <si>
    <t>Months after age 70 with with hours or less (1.50%):</t>
  </si>
  <si>
    <t>Pro-Rata Delayed Benefit Increase</t>
  </si>
  <si>
    <t>Delayed Calc 2 Retirement Increase:</t>
  </si>
  <si>
    <t>Pro-Rata Delayed 13th Check Increase</t>
  </si>
  <si>
    <t>Regular/Service/Delayed 1 H&amp;W Pension Options</t>
  </si>
  <si>
    <t>Delayed 2 H&amp;W Pension Options</t>
  </si>
  <si>
    <t>Pro-Rata Delayed Calc 2 Member Benefit:</t>
  </si>
  <si>
    <t>Pro-Rata Delayed Calc 2 Member 13th Check:</t>
  </si>
  <si>
    <t>Pro Rata Pension Calculation</t>
  </si>
  <si>
    <t>California Pension Calculation</t>
  </si>
  <si>
    <t>Delayed Calculation 1 Benefit Amount:</t>
  </si>
  <si>
    <t>Delayed Calculation 2 Benefit Amount:</t>
  </si>
  <si>
    <t>Greater of Calculation 1 and 2:</t>
  </si>
  <si>
    <t>Months between ages 65 &amp; 70 with 40 hours or less (1.00%):</t>
  </si>
  <si>
    <t>Months after age 70 with with 40 hours or less (1.50%):</t>
  </si>
  <si>
    <t>Credits Earned After Age 65</t>
  </si>
  <si>
    <t>Pre-65 Total</t>
  </si>
  <si>
    <t>Delayed Benefit Increase</t>
  </si>
  <si>
    <t>Delayed 13th Check Increase</t>
  </si>
  <si>
    <t>Delayed Calc 2 Member Benefit:</t>
  </si>
  <si>
    <t>Delayed Calc 2 Member 13th Check:</t>
  </si>
  <si>
    <t>Pre-65 Pension Amount</t>
  </si>
  <si>
    <t>307213X00</t>
  </si>
  <si>
    <t>Member 13th Check</t>
  </si>
  <si>
    <t>Date member turned 65</t>
  </si>
  <si>
    <t>Member Calculation 1 13th Check Amount</t>
  </si>
  <si>
    <t>Member Delayed Calculation 1 Monthly Amount</t>
  </si>
  <si>
    <t>Date:</t>
  </si>
  <si>
    <t>Pre-65 13th Check Amount</t>
  </si>
  <si>
    <t>Pre-65 Monthly Pension Amount</t>
  </si>
  <si>
    <t>First 60 months with 40 hours or less (1.00%):</t>
  </si>
  <si>
    <t>61 + months with 40 hours or less (1.50%):</t>
  </si>
  <si>
    <t>61 + months with with 40 hours or less (1.50%):</t>
  </si>
  <si>
    <t>Member Benefit from 09/01/2011 to 09/30/2014</t>
  </si>
  <si>
    <t>Delayed Pension Benefit Calculation</t>
  </si>
  <si>
    <t>California Ironworkers Field Pension Trust Pension Calculation</t>
  </si>
  <si>
    <t>California Ironworkers Field Pension Trust Pro Rata Pension Calculation</t>
  </si>
  <si>
    <t>Alex Miles</t>
  </si>
  <si>
    <t>Member Credits</t>
  </si>
  <si>
    <t xml:space="preserve">DATE OF SEPARATION: </t>
  </si>
  <si>
    <t xml:space="preserve">DATE OF MARRIAGE: </t>
  </si>
  <si>
    <t xml:space="preserve">MARRIAGE DATES: </t>
  </si>
  <si>
    <t xml:space="preserve">MONTHS MARRIED </t>
  </si>
  <si>
    <t>MONTHS WORKED</t>
  </si>
  <si>
    <t>PLAN YEAR</t>
  </si>
  <si>
    <t>2035</t>
  </si>
  <si>
    <t>2034</t>
  </si>
  <si>
    <t>2033</t>
  </si>
  <si>
    <t>2032</t>
  </si>
  <si>
    <t>2031</t>
  </si>
  <si>
    <t>2030</t>
  </si>
  <si>
    <t>2029</t>
  </si>
  <si>
    <t>2028</t>
  </si>
  <si>
    <t>2027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</si>
  <si>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</si>
  <si>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</si>
  <si>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</si>
  <si>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</si>
  <si>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</si>
  <si>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</si>
  <si>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</si>
  <si>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</si>
  <si>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</si>
  <si>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</si>
  <si>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</si>
  <si>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</si>
  <si>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</si>
  <si>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</si>
  <si>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</si>
  <si>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</si>
  <si>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</si>
  <si>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</si>
  <si>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</si>
  <si>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</si>
  <si>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</si>
  <si>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</si>
  <si>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</si>
  <si>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</si>
  <si>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</si>
  <si>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</si>
  <si>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</si>
  <si>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</si>
  <si>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</si>
  <si>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</si>
  <si>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</si>
  <si>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</si>
  <si>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</si>
  <si>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</si>
  <si>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</si>
  <si>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</si>
  <si>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Totals: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</si>
  <si>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</si>
  <si>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</si>
  <si>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</si>
  <si>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</si>
  <si>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</si>
  <si>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</si>
  <si>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</si>
  <si>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</si>
  <si>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</si>
  <si>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</si>
  <si>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</si>
  <si>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</si>
  <si>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</si>
  <si>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</si>
  <si>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</si>
  <si>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</si>
  <si>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</si>
  <si>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</si>
  <si>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</si>
  <si>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</si>
  <si>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</si>
  <si>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AP 1 QDRO Calculation Using Months</t>
  </si>
  <si>
    <t>AP 1 NAME:</t>
  </si>
  <si>
    <t>MEMBER NAME:</t>
  </si>
  <si>
    <t>MEMBER ID:</t>
  </si>
  <si>
    <t>AP 2 NAME:</t>
  </si>
  <si>
    <t>Member Value</t>
  </si>
  <si>
    <t>Total Pension Credits &amp; Amount:</t>
  </si>
  <si>
    <t>Full Benefit Prior to 09/01/2011:</t>
  </si>
  <si>
    <t>1. Early Retirement Pension</t>
  </si>
  <si>
    <t>AP 2 QDRO Calculation Using Months</t>
  </si>
  <si>
    <t>Member Benefit Prior to 09/01/2011:</t>
  </si>
  <si>
    <t>Heather M. Thogersen</t>
  </si>
  <si>
    <t>2. Brown Formula</t>
  </si>
  <si>
    <t>Leyna P. Tran Sherritt</t>
  </si>
  <si>
    <t>Michael Sherritt</t>
  </si>
  <si>
    <t>275810X81</t>
  </si>
  <si>
    <t>_</t>
  </si>
  <si>
    <t>CA Member Credits</t>
  </si>
  <si>
    <t>Pro-Rata Credits</t>
  </si>
  <si>
    <t>13th Check benefit</t>
  </si>
  <si>
    <t>10. Delayed Pension</t>
  </si>
  <si>
    <t>What member Wants</t>
  </si>
  <si>
    <t>Fed Taxes</t>
  </si>
  <si>
    <t>What member should request</t>
  </si>
  <si>
    <t>What member wants</t>
  </si>
  <si>
    <t>State Taxes</t>
  </si>
  <si>
    <t>With</t>
  </si>
  <si>
    <t>Without</t>
  </si>
  <si>
    <t>State Tax</t>
  </si>
  <si>
    <t>.</t>
  </si>
  <si>
    <t>Credits Earned On and Between 09/01/2011 to 09/30/2014</t>
  </si>
  <si>
    <t>Credits Earned On and After 10/01/2014</t>
  </si>
  <si>
    <t>Russell W. Nelson Jr.</t>
  </si>
  <si>
    <t>Susan K. Nelson</t>
  </si>
  <si>
    <t># of payments of previous benefit:</t>
  </si>
  <si>
    <t>217296X00</t>
  </si>
  <si>
    <t>Early Withdraw</t>
  </si>
  <si>
    <t>Frank Rodriguez</t>
  </si>
  <si>
    <t>Imelda Alvizo</t>
  </si>
  <si>
    <t>Delayed Retirement Age 65 Pension Credit Separater</t>
  </si>
  <si>
    <t>Hours</t>
  </si>
  <si>
    <t>Pre-65 hours total</t>
  </si>
  <si>
    <t>Pension Credits</t>
  </si>
  <si>
    <t>Month</t>
  </si>
  <si>
    <t>Select AP 2 Award Type</t>
  </si>
  <si>
    <t>13th Ck Benefit to Member</t>
  </si>
  <si>
    <t>Single Life Benefit (old credits) &amp; 100% H&amp;W (new credits only)</t>
  </si>
  <si>
    <t>Single Life Benefit (old credits) &amp; 75% H&amp;W (new credits only)</t>
  </si>
  <si>
    <t>Total Value</t>
  </si>
  <si>
    <t>Total Credits</t>
  </si>
  <si>
    <t>are less than this previous retirement amount</t>
  </si>
  <si>
    <t>Single Life Benefit (old credits) &amp; 50% H&amp;W (new credits only)</t>
  </si>
  <si>
    <t>**benefit payable IF all new benefit amounts</t>
  </si>
  <si>
    <t>This election cannot be changed or revoked.</t>
  </si>
  <si>
    <t>New Single Life Benefit (new credits; reference only)</t>
  </si>
  <si>
    <t>Credits</t>
  </si>
  <si>
    <t>benefit was elected on that benefit piece</t>
  </si>
  <si>
    <t>benefit cannot be less than the original ER benefit received)</t>
  </si>
  <si>
    <t>* payable to the spouse if husband and wife</t>
  </si>
  <si>
    <r>
      <t xml:space="preserve">Previous ER Benefit Amount </t>
    </r>
    <r>
      <rPr>
        <b/>
        <i/>
        <sz val="8"/>
        <rFont val="Arial"/>
        <family val="2"/>
      </rPr>
      <t>(for reference only; amount of new</t>
    </r>
  </si>
  <si>
    <t xml:space="preserve">Recalculated Previous ER Single Life Benefit After 1% Penalty Reduction </t>
  </si>
  <si>
    <t>*</t>
  </si>
  <si>
    <t>Spouse 13th Ck</t>
  </si>
  <si>
    <t>should always be taken from the new portion of the benefit</t>
  </si>
  <si>
    <t>Spouse</t>
  </si>
  <si>
    <t>When Separating the old &amp; new benefits; the 1% penalty reduction</t>
  </si>
  <si>
    <t>Member 13th Ck</t>
  </si>
  <si>
    <t>Amount Above x 1% Previous Early Retirement Penalty</t>
  </si>
  <si>
    <t>Total Gross Amt of Prev ER Pens Payments Paid to Member</t>
  </si>
  <si>
    <t>Previous Pension Eff Date</t>
  </si>
  <si>
    <t>Early</t>
  </si>
  <si>
    <t>Previous Pension Type</t>
  </si>
  <si>
    <t>Previous Retirement Information</t>
  </si>
  <si>
    <t>Re-calc of first retirement ONLY (no new credits &amp; before 1% red or H&amp;W)</t>
  </si>
  <si>
    <t>xERF Post 10/01/2014</t>
  </si>
  <si>
    <t>xERF Post 09/01/2011</t>
  </si>
  <si>
    <t>xERF Pre 09/01/2011</t>
  </si>
  <si>
    <t>earned (before / after 09/2011</t>
  </si>
  <si>
    <t>Benefit Amt</t>
  </si>
  <si>
    <t>Post 10/01/2014 unreduced</t>
  </si>
  <si>
    <t>and date period original credits</t>
  </si>
  <si>
    <t>(H&amp;W Options on only new credits)</t>
  </si>
  <si>
    <t>Post 09/01/2011 unreduced</t>
  </si>
  <si>
    <t>ER Factor based on current age</t>
  </si>
  <si>
    <t>Husband and Wife Pension Options</t>
  </si>
  <si>
    <t xml:space="preserve">Pre 09/01/2011 unreduced </t>
  </si>
  <si>
    <t xml:space="preserve">Prev Retirement Benefit Amount </t>
  </si>
  <si>
    <t>Gross Total of Pymts Recvd</t>
  </si>
  <si>
    <t>xERF</t>
  </si>
  <si>
    <t>New Credits Only on or After 10/01/2014 Prior to Reduction</t>
  </si>
  <si>
    <t>New Credits Only On or After 09/01/2011 Prior to ER Reduction</t>
  </si>
  <si>
    <t>$ Received</t>
  </si>
  <si>
    <t>Months</t>
  </si>
  <si>
    <t>Gross Pens $</t>
  </si>
  <si>
    <t>New Credits Only Prior to 09/01/2011 Prior to ER Reduction</t>
  </si>
  <si>
    <t>Previous Retirement Reduction Calculation</t>
  </si>
  <si>
    <t>Member Benefit Calculation</t>
  </si>
  <si>
    <t>56/10</t>
  </si>
  <si>
    <t>Age:</t>
  </si>
  <si>
    <t>59/1</t>
  </si>
  <si>
    <t>Yrs Older</t>
  </si>
  <si>
    <t>OR</t>
  </si>
  <si>
    <t>Yrs Younger</t>
  </si>
  <si>
    <t>DOB:</t>
  </si>
  <si>
    <t>Spouse Age</t>
  </si>
  <si>
    <t>SPOUSE</t>
  </si>
  <si>
    <t>RETIREE</t>
  </si>
  <si>
    <t>PENSION EFFECTIVE:</t>
  </si>
  <si>
    <t>306498X00</t>
  </si>
  <si>
    <t>ID:</t>
  </si>
  <si>
    <t>Timothy M Jimenez</t>
  </si>
  <si>
    <t>Name:</t>
  </si>
  <si>
    <t>PREVIOUSLY ER RETIRED_REGULAR, SERVICE OR DISABILITY RETIREMENT_H&amp;W ON ONLY NEW CREDITS</t>
  </si>
  <si>
    <t>CALIFORNIA IRONWORKERS FIELD PENSION TRUST CALCULATION WORKSHEET</t>
  </si>
  <si>
    <t>13th Check Benefit Payable to Member</t>
  </si>
  <si>
    <t>husband and wife (old credits only)</t>
  </si>
  <si>
    <t>New SL Benefit +</t>
  </si>
  <si>
    <t>New Benefit Amount (Single Life; new credits only for reference)</t>
  </si>
  <si>
    <t xml:space="preserve">Recalculated Previous ER H&amp;W Benefit After 1% Penalty Reduction </t>
  </si>
  <si>
    <t>should always be taken from the total of the new benefit</t>
  </si>
  <si>
    <t>*Spouse 13th Check</t>
  </si>
  <si>
    <t>*Spouse</t>
  </si>
  <si>
    <t>13th Check Payable to Member</t>
  </si>
  <si>
    <t>( H&amp;W % option elected at previous retirement )</t>
  </si>
  <si>
    <t xml:space="preserve">Prev Retirement Benefit Amt </t>
  </si>
  <si>
    <t>or</t>
  </si>
  <si>
    <t>PREVIOUSLY ER RETIRED_ANY NEW PENSION TYPE_H&amp;W ONLY ON OLD CREDITS</t>
  </si>
  <si>
    <t>H&amp;W Benefit (old credits) &amp; 100% H&amp;W (new credts)</t>
  </si>
  <si>
    <t>H&amp;W Benefit (old credits) &amp; 75% H&amp;W (new credts)</t>
  </si>
  <si>
    <t>H&amp;W Benefit (old credits) &amp; 50% H&amp;W (new credts)</t>
  </si>
  <si>
    <t>New Benefit (Single Life new credits only; reference only)</t>
  </si>
  <si>
    <t>benefit cannot be less than the original ER benefit received)**</t>
  </si>
  <si>
    <t>Previous ER Benefit Amount (for reference only; amount of new</t>
  </si>
  <si>
    <t>earned and paid on original ER</t>
  </si>
  <si>
    <t>age and date period original credits</t>
  </si>
  <si>
    <t>ER calcculation based on current</t>
  </si>
  <si>
    <t>(use only % applicable to previous ER election )</t>
  </si>
  <si>
    <t>New Retirement Effective Date:</t>
  </si>
  <si>
    <t>New Credits</t>
  </si>
  <si>
    <t>Old Credits</t>
  </si>
  <si>
    <t>Retiree DOB:</t>
  </si>
  <si>
    <t>Age at Retirement:</t>
  </si>
  <si>
    <t>5. Regular at 65</t>
  </si>
  <si>
    <t>James W. Swift</t>
  </si>
  <si>
    <t>236576X65</t>
  </si>
  <si>
    <t>Rachel E. Swift</t>
  </si>
  <si>
    <t>Retiree:</t>
  </si>
  <si>
    <t>Monthly Benefit:</t>
  </si>
  <si>
    <t>Pension Eff. Date:</t>
  </si>
  <si>
    <t>Date Reductions Start:</t>
  </si>
  <si>
    <t>13th Check:</t>
  </si>
  <si>
    <t>% of Reduction:</t>
  </si>
  <si>
    <t>1)</t>
  </si>
  <si>
    <t>Determine the amount of the total overpayment;</t>
  </si>
  <si>
    <t>Total Overpayment Amount (TOA):</t>
  </si>
  <si>
    <t>2)</t>
  </si>
  <si>
    <t>benefit payment the participants or beneficiary receives each calendar year;</t>
  </si>
  <si>
    <t>Monthly Reduction:</t>
  </si>
  <si>
    <t>3)</t>
  </si>
  <si>
    <t xml:space="preserve">amount. Multiply the participant or beneficiary's correct monthly benefit payment by </t>
  </si>
  <si>
    <t>4)</t>
  </si>
  <si>
    <t>If the monthly amount in 2) is less than 3), deduct the amount in 2) from the participant</t>
  </si>
  <si>
    <r>
      <t xml:space="preserve">or beneficiary's corrected monthly benefit amount; </t>
    </r>
    <r>
      <rPr>
        <b/>
        <sz val="10"/>
        <color indexed="8"/>
        <rFont val="Calibri"/>
        <family val="2"/>
      </rPr>
      <t>OR</t>
    </r>
  </si>
  <si>
    <t>Amount in 2) above</t>
  </si>
  <si>
    <t>5)</t>
  </si>
  <si>
    <t>If the monthly amount in 2) is greater than 3), deduct the amount in 3) from participant</t>
  </si>
  <si>
    <t>or beneficiary's corrected monthly benefit amount</t>
  </si>
  <si>
    <t>6)</t>
  </si>
  <si>
    <t>Schedule the deduction amount until the overpayment is repaid.</t>
  </si>
  <si>
    <t>Amount in 3) above</t>
  </si>
  <si>
    <t>Monthly Benefit Reduction (E16 or E19):</t>
  </si>
  <si>
    <t>Reduced Monthly Benefit Amount:</t>
  </si>
  <si>
    <t>Total Number of Months to Receive Reduced Monthly Benefit:</t>
  </si>
  <si>
    <t>Number of Months to Receive Full Benefit Reduction:</t>
  </si>
  <si>
    <t>Number of months x Monthly Benefit Reduction:</t>
  </si>
  <si>
    <t>If the Final Month Remaining Overpayment is $0, the</t>
  </si>
  <si>
    <t>Final Mth Overpayment Reduction (G6-G29)</t>
  </si>
  <si>
    <t>overpayment is satisifed and no further reduction is</t>
  </si>
  <si>
    <t xml:space="preserve">If Final Month Remaining Overpayment is $0, the overpayment is satisfied and the </t>
  </si>
  <si>
    <t>necessary; if not, pay the Next Months Benefit Amount</t>
  </si>
  <si>
    <t>monthly pension payment should be returned to the corrected, full monthly benefit amount</t>
  </si>
  <si>
    <t>one-time and then change the gross distribution amount to</t>
  </si>
  <si>
    <t>Date of Final Month</t>
  </si>
  <si>
    <t>the Corrected Monthly Benefit Amount going forward.</t>
  </si>
  <si>
    <t>Final Reduction Month Benefit Amount :</t>
  </si>
  <si>
    <t>(show reduced benefit amount if necessary)</t>
  </si>
  <si>
    <t>1st Approval:</t>
  </si>
  <si>
    <t>Final Approval:</t>
  </si>
  <si>
    <t>Prev. Spouse DOB:</t>
  </si>
  <si>
    <t>Currn.Spouse DOB:</t>
  </si>
  <si>
    <t>CIFPT Credits:</t>
  </si>
  <si>
    <t>Pro-Rata Credits:</t>
  </si>
  <si>
    <t>New Credits Prior to 09/01/2011 Prior to ER Reduction</t>
  </si>
  <si>
    <t>237895X00</t>
  </si>
  <si>
    <t>Ricky G. Peters</t>
  </si>
  <si>
    <t>ER PR 100%</t>
  </si>
  <si>
    <t>Phyllis A. Peters</t>
  </si>
  <si>
    <t>66/11</t>
  </si>
  <si>
    <t>64/11</t>
  </si>
  <si>
    <t>53/6</t>
  </si>
  <si>
    <t>Recalculated Previous ER Benefit After 1% Penalty Reduction</t>
  </si>
  <si>
    <t>Mario R. Ruelas</t>
  </si>
  <si>
    <t>Beatrice Ruelas</t>
  </si>
  <si>
    <t>320288X00</t>
  </si>
  <si>
    <t>Member's 13th Check</t>
  </si>
  <si>
    <t># of 13th check years while suspended:</t>
  </si>
  <si>
    <t>Suspended 2/1/2018</t>
  </si>
  <si>
    <t>Member passed 7/24/2025</t>
  </si>
  <si>
    <t>Total Amount owed to member:</t>
  </si>
  <si>
    <t>Difference between Adjustment and Monthly</t>
  </si>
  <si>
    <t>Number of current payments received</t>
  </si>
  <si>
    <t>Total Gross Difference</t>
  </si>
  <si>
    <t>Federal Tax Monthly Withholding</t>
  </si>
  <si>
    <t>State Tax Monthly Withholding</t>
  </si>
  <si>
    <t>Total Net Difference</t>
  </si>
  <si>
    <t>Member/Payee Name:</t>
  </si>
  <si>
    <t>Difference Calculation between adjusted and corrected amounts</t>
  </si>
  <si>
    <t>Difference between Adjustment and October 2025</t>
  </si>
  <si>
    <t>Amount we should adjust to</t>
  </si>
  <si>
    <t>Total Difference between Adjustment and Monthly</t>
  </si>
  <si>
    <t>Feburary 2026 payment</t>
  </si>
  <si>
    <t>OVERPAYMENT  REDUCTION CALCULATION SHEET - MONTHLY BREAKDOWN</t>
  </si>
  <si>
    <t>Year</t>
  </si>
  <si>
    <t>Months of Payments in Year</t>
  </si>
  <si>
    <t>Total payment for year</t>
  </si>
  <si>
    <t>Total payments to date</t>
  </si>
  <si>
    <t>Monthly Reduction</t>
  </si>
  <si>
    <t>Total Months left</t>
  </si>
  <si>
    <t>October 2025 to January 2026</t>
  </si>
  <si>
    <t>Gross Payments</t>
  </si>
  <si>
    <t>Number of Months</t>
  </si>
  <si>
    <t>Adjusted Amount</t>
  </si>
  <si>
    <t>Total difference</t>
  </si>
  <si>
    <t>Difference</t>
  </si>
  <si>
    <t>Monthly Federal Tax Withholding</t>
  </si>
  <si>
    <t>Monthly State Tax Withholding</t>
  </si>
  <si>
    <t>Total State Tax Withholding</t>
  </si>
  <si>
    <t>Total Federal Tax Withholding</t>
  </si>
  <si>
    <t>Gross Total Adjustment Owed</t>
  </si>
  <si>
    <t>Net Total Adjustment Owed</t>
  </si>
  <si>
    <t>2025 13th Check</t>
  </si>
  <si>
    <t>Total Difference</t>
  </si>
  <si>
    <t>Original Overpayment Amount:</t>
  </si>
  <si>
    <t>Unreduced Pension Benefit:</t>
  </si>
  <si>
    <t>Number of Retro Payments:</t>
  </si>
  <si>
    <t>Total Retro Pension Payments:</t>
  </si>
  <si>
    <t>Overpayment Amount minus Retro:</t>
  </si>
  <si>
    <t>Julian A. Jove</t>
  </si>
  <si>
    <t>200180x00</t>
  </si>
  <si>
    <t>Richard E Hoitinga</t>
  </si>
  <si>
    <t>451973X00</t>
  </si>
  <si>
    <t>Brooklyn A Hoitinga</t>
  </si>
  <si>
    <t>Louie Anaya</t>
  </si>
  <si>
    <t>301966X65</t>
  </si>
  <si>
    <t>Aquilino C. Basa</t>
  </si>
  <si>
    <t>351870X00</t>
  </si>
  <si>
    <t>3. AP in Pay Status</t>
  </si>
  <si>
    <t>July 2025 to May 2026</t>
  </si>
  <si>
    <t xml:space="preserve">      CALIFORNIA IRONWORKERS FIELD DEFINED CONTRIBUTION PENSION PLAN</t>
  </si>
  <si>
    <t>QDRO CALCULATION SHEET</t>
  </si>
  <si>
    <t>Member's Name:</t>
  </si>
  <si>
    <t>Steven Samler</t>
  </si>
  <si>
    <t xml:space="preserve">SSN: </t>
  </si>
  <si>
    <t>568-77-0976</t>
  </si>
  <si>
    <t>QDRO REVIEWED BY LEGAL COUNSEL AND ACCEPTED ON:</t>
  </si>
  <si>
    <t>N/A</t>
  </si>
  <si>
    <t>Date of Marriage:</t>
  </si>
  <si>
    <t>Effective Date of QDRO:</t>
  </si>
  <si>
    <t>If date of separation occurs on or before 9/30/98, eff.</t>
  </si>
  <si>
    <t>Date of Separation:</t>
  </si>
  <si>
    <t>date of qdro must be 9/30/98, if separation occurs after</t>
  </si>
  <si>
    <t>this date, use separation date unless qdro advises</t>
  </si>
  <si>
    <t>otherwise.</t>
  </si>
  <si>
    <t>Balance on DOS:</t>
  </si>
  <si>
    <t>Less funds earned prior to DOM:</t>
  </si>
  <si>
    <t>Total funds earned during marriage:</t>
  </si>
  <si>
    <t>AP Percentage Interest:</t>
  </si>
  <si>
    <t>YEAR:</t>
  </si>
  <si>
    <t>%:</t>
  </si>
  <si>
    <t>FIGURES CALCULATED BY:</t>
  </si>
  <si>
    <t>New Total:</t>
  </si>
  <si>
    <t>DATE:</t>
  </si>
  <si>
    <t>FIGURES CHECKED BY:</t>
  </si>
  <si>
    <t xml:space="preserve">DATE: </t>
  </si>
  <si>
    <t>4% Interest Calculator</t>
  </si>
  <si>
    <t>Date</t>
  </si>
  <si>
    <t>Payment</t>
  </si>
  <si>
    <t>Interest</t>
  </si>
  <si>
    <t>Running Total</t>
  </si>
  <si>
    <t>Member Address:</t>
  </si>
  <si>
    <t>Form Dashboard</t>
  </si>
  <si>
    <t>Forms to complete</t>
  </si>
  <si>
    <t>AP or Ex Spouse Name(s):</t>
  </si>
  <si>
    <t>DCP Checklist</t>
  </si>
  <si>
    <t>Retirement or Eligibility Date:</t>
  </si>
  <si>
    <t>Pension elected at Retirement:</t>
  </si>
  <si>
    <t>Member Age:</t>
  </si>
  <si>
    <t>Spouse Age:</t>
  </si>
  <si>
    <t>AP or Ex Spouse Age:</t>
  </si>
  <si>
    <t>Member SSN:</t>
  </si>
  <si>
    <t>Pension 4% Interest run:</t>
  </si>
  <si>
    <t>Total Payments:</t>
  </si>
  <si>
    <t>Total w/Interest:</t>
  </si>
  <si>
    <t>Interest:</t>
  </si>
  <si>
    <t>Payment Effective Date:</t>
  </si>
  <si>
    <t>Begin Date:</t>
  </si>
  <si>
    <t>End Date:</t>
  </si>
  <si>
    <t>Payout Date:</t>
  </si>
  <si>
    <t>341317X00</t>
  </si>
  <si>
    <t>James Davis</t>
  </si>
  <si>
    <t>Martin E. Johnson</t>
  </si>
  <si>
    <t>336945X64</t>
  </si>
  <si>
    <t>Andrea Johnson</t>
  </si>
  <si>
    <t>Rigoberto Pimentel</t>
  </si>
  <si>
    <t>Perla S. Pimentel</t>
  </si>
  <si>
    <t>320395X00</t>
  </si>
  <si>
    <t>8. Service Pension Pre-Age 55 &amp; Disability Pension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</si>
</sst>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%"/>
    <numFmt numFmtId="166" formatCode="_(* #,##0.000_);_(* \(#,##0.000\);_(* &quot;-&quot;???_);_(@_)"/>
    <numFmt numFmtId="167" formatCode="#,##0.000_);\(#,##0.000\)"/>
    <numFmt numFmtId="168" formatCode="0.000"/>
    <numFmt numFmtId="169" formatCode="0.000%"/>
    <numFmt numFmtId="170" formatCode="0.000000%"/>
    <numFmt numFmtId="171" formatCode="&quot;$&quot;#,##0.00000000"/>
    <numFmt numFmtId="172" formatCode="0.00000000"/>
    <numFmt numFmtId="173" formatCode="[$-409]mmmm\ d\,\ yyyy;@"/>
    <numFmt numFmtId="174" formatCode="[$-F400]h:mm:ss\ AM/PM"/>
  </numFmts>
  <fonts count="41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i/>
      <sz val="8"/>
      <name val="Arial"/>
      <family val="2"/>
    </font>
    <font>
      <b/>
      <i/>
      <sz val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7"/>
      <name val="Arial"/>
      <family val="2"/>
    </font>
    <font>
      <b/>
      <u/>
      <sz val="12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9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b/>
      <sz val="12"/>
      <name val="Tahoma"/>
      <family val="2"/>
    </font>
    <font>
      <sz val="11"/>
      <name val="Tahoma"/>
      <family val="2"/>
    </font>
    <font>
      <sz val="7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sz val="72"/>
      <color theme="1"/>
      <name val="Aptos Narrow"/>
      <family val="2"/>
      <scheme val="minor"/>
    </font>
    <font>
      <b/>
      <u/>
      <sz val="72"/>
      <color theme="1"/>
      <name val="Palatino Linotype"/>
      <family val="1"/>
    </font>
    <font>
      <sz val="72"/>
      <color theme="1"/>
      <name val="Palatino Linotype"/>
      <family val="1"/>
    </font>
    <font>
      <b/>
      <sz val="72"/>
      <color theme="1"/>
      <name val="Palatino Linotype"/>
      <family val="1"/>
    </font>
    <font>
      <sz val="72"/>
      <color theme="1"/>
      <name val="Times New Roman"/>
      <family val="1"/>
    </font>
    <font>
      <sz val="26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9" fontId="15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6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0" fontId="2" fillId="0" borderId="0" xfId="0" applyNumberFormat="1" applyFont="1"/>
    <xf numFmtId="164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2" xfId="0" applyNumberFormat="1" applyFont="1" applyBorder="1"/>
    <xf numFmtId="164" fontId="2" fillId="0" borderId="4" xfId="0" applyNumberFormat="1" applyFont="1" applyBorder="1"/>
    <xf numFmtId="164" fontId="2" fillId="0" borderId="5" xfId="0" applyNumberFormat="1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left"/>
    </xf>
    <xf numFmtId="0" fontId="4" fillId="0" borderId="2" xfId="0" applyFont="1" applyBorder="1"/>
    <xf numFmtId="9" fontId="2" fillId="0" borderId="1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 applyAlignment="1">
      <alignment horizontal="left"/>
    </xf>
    <xf numFmtId="2" fontId="2" fillId="0" borderId="0" xfId="0" applyNumberFormat="1" applyFont="1"/>
    <xf numFmtId="165" fontId="2" fillId="0" borderId="4" xfId="0" applyNumberFormat="1" applyFont="1" applyBorder="1"/>
    <xf numFmtId="164" fontId="1" fillId="0" borderId="7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164" fontId="1" fillId="0" borderId="7" xfId="0" applyNumberFormat="1" applyFont="1" applyBorder="1"/>
    <xf numFmtId="164" fontId="2" fillId="0" borderId="8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2" borderId="0" xfId="0" applyNumberFormat="1" applyFont="1" applyFill="1"/>
    <xf numFmtId="2" fontId="2" fillId="2" borderId="0" xfId="0" applyNumberFormat="1" applyFont="1" applyFill="1" applyAlignment="1">
      <alignment horizontal="center"/>
    </xf>
    <xf numFmtId="0" fontId="1" fillId="0" borderId="6" xfId="0" applyFont="1" applyBorder="1"/>
    <xf numFmtId="2" fontId="2" fillId="0" borderId="7" xfId="0" applyNumberFormat="1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7" fillId="0" borderId="0" xfId="1"/>
    <xf numFmtId="0" fontId="7" fillId="4" borderId="0" xfId="1" applyFill="1"/>
    <xf numFmtId="2" fontId="7" fillId="4" borderId="0" xfId="1" applyNumberFormat="1" applyFill="1"/>
    <xf numFmtId="0" fontId="8" fillId="4" borderId="0" xfId="1" applyFont="1" applyFill="1"/>
    <xf numFmtId="2" fontId="8" fillId="4" borderId="0" xfId="1" applyNumberFormat="1" applyFont="1" applyFill="1"/>
    <xf numFmtId="2" fontId="8" fillId="4" borderId="0" xfId="1" applyNumberFormat="1" applyFont="1" applyFill="1" applyAlignment="1">
      <alignment horizontal="center"/>
    </xf>
    <xf numFmtId="0" fontId="8" fillId="0" borderId="9" xfId="1" applyFont="1" applyBorder="1"/>
    <xf numFmtId="0" fontId="7" fillId="0" borderId="10" xfId="1" applyBorder="1"/>
    <xf numFmtId="0" fontId="7" fillId="0" borderId="10" xfId="1" applyBorder="1" applyProtection="1">
      <protection locked="0"/>
    </xf>
    <xf numFmtId="2" fontId="8" fillId="0" borderId="10" xfId="1" applyNumberFormat="1" applyFont="1" applyBorder="1"/>
    <xf numFmtId="2" fontId="8" fillId="0" borderId="11" xfId="1" applyNumberFormat="1" applyFont="1" applyBorder="1" applyAlignment="1">
      <alignment horizontal="center"/>
    </xf>
    <xf numFmtId="0" fontId="7" fillId="0" borderId="12" xfId="1" applyBorder="1"/>
    <xf numFmtId="0" fontId="10" fillId="0" borderId="12" xfId="1" applyFont="1" applyBorder="1" applyProtection="1">
      <protection locked="0"/>
    </xf>
    <xf numFmtId="2" fontId="10" fillId="0" borderId="12" xfId="1" applyNumberFormat="1" applyFont="1" applyBorder="1" applyAlignment="1" applyProtection="1">
      <alignment horizontal="center"/>
      <protection locked="0"/>
    </xf>
    <xf numFmtId="0" fontId="10" fillId="0" borderId="12" xfId="1" applyFont="1" applyBorder="1" applyAlignment="1" applyProtection="1">
      <alignment horizontal="center"/>
      <protection locked="0"/>
    </xf>
    <xf numFmtId="2" fontId="7" fillId="0" borderId="12" xfId="1" applyNumberFormat="1" applyBorder="1" applyProtection="1">
      <protection locked="0"/>
    </xf>
    <xf numFmtId="2" fontId="10" fillId="0" borderId="12" xfId="1" applyNumberFormat="1" applyFont="1" applyBorder="1" applyAlignment="1">
      <alignment horizontal="center"/>
    </xf>
    <xf numFmtId="2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0" fillId="0" borderId="13" xfId="1" applyFont="1" applyBorder="1" applyAlignment="1" applyProtection="1">
      <alignment horizontal="center"/>
      <protection locked="0"/>
    </xf>
    <xf numFmtId="3" fontId="10" fillId="0" borderId="13" xfId="1" applyNumberFormat="1" applyFont="1" applyBorder="1" applyAlignment="1" applyProtection="1">
      <alignment horizontal="center"/>
      <protection locked="0"/>
    </xf>
    <xf numFmtId="2" fontId="7" fillId="0" borderId="13" xfId="1" applyNumberFormat="1" applyBorder="1" applyProtection="1">
      <protection locked="0"/>
    </xf>
    <xf numFmtId="2" fontId="10" fillId="0" borderId="13" xfId="1" applyNumberFormat="1" applyFont="1" applyBorder="1" applyAlignment="1">
      <alignment horizontal="center"/>
    </xf>
    <xf numFmtId="2" fontId="11" fillId="0" borderId="13" xfId="1" applyNumberFormat="1" applyFont="1" applyBorder="1" applyAlignment="1">
      <alignment horizontal="center"/>
    </xf>
    <xf numFmtId="0" fontId="8" fillId="5" borderId="13" xfId="1" applyFont="1" applyFill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5" borderId="15" xfId="1" applyFont="1" applyFill="1" applyBorder="1" applyAlignment="1">
      <alignment horizontal="center"/>
    </xf>
    <xf numFmtId="0" fontId="7" fillId="0" borderId="16" xfId="1" applyBorder="1"/>
    <xf numFmtId="6" fontId="7" fillId="0" borderId="16" xfId="1" applyNumberFormat="1" applyBorder="1"/>
    <xf numFmtId="0" fontId="8" fillId="0" borderId="14" xfId="1" applyFont="1" applyBorder="1" applyAlignment="1">
      <alignment horizontal="center"/>
    </xf>
    <xf numFmtId="0" fontId="9" fillId="0" borderId="0" xfId="1" applyFont="1"/>
    <xf numFmtId="0" fontId="7" fillId="5" borderId="0" xfId="1" applyFill="1"/>
    <xf numFmtId="0" fontId="8" fillId="6" borderId="13" xfId="1" applyFont="1" applyFill="1" applyBorder="1" applyAlignment="1">
      <alignment horizontal="center"/>
    </xf>
    <xf numFmtId="166" fontId="7" fillId="0" borderId="0" xfId="1" applyNumberFormat="1"/>
    <xf numFmtId="0" fontId="8" fillId="7" borderId="13" xfId="1" applyFont="1" applyFill="1" applyBorder="1" applyAlignment="1">
      <alignment horizontal="center"/>
    </xf>
    <xf numFmtId="0" fontId="8" fillId="8" borderId="13" xfId="1" applyFont="1" applyFill="1" applyBorder="1" applyAlignment="1">
      <alignment horizontal="center"/>
    </xf>
    <xf numFmtId="2" fontId="7" fillId="0" borderId="0" xfId="1" applyNumberFormat="1"/>
    <xf numFmtId="2" fontId="8" fillId="0" borderId="0" xfId="1" applyNumberFormat="1" applyFont="1" applyAlignment="1">
      <alignment horizontal="center"/>
    </xf>
    <xf numFmtId="0" fontId="2" fillId="0" borderId="1" xfId="0" applyFont="1" applyBorder="1"/>
    <xf numFmtId="0" fontId="2" fillId="0" borderId="10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/>
    <xf numFmtId="2" fontId="2" fillId="3" borderId="3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164" fontId="2" fillId="2" borderId="4" xfId="0" applyNumberFormat="1" applyFont="1" applyFill="1" applyBorder="1"/>
    <xf numFmtId="164" fontId="2" fillId="0" borderId="5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19" xfId="0" applyNumberFormat="1" applyFont="1" applyBorder="1"/>
    <xf numFmtId="164" fontId="2" fillId="0" borderId="20" xfId="0" applyNumberFormat="1" applyFont="1" applyBorder="1" applyAlignment="1">
      <alignment horizontal="center"/>
    </xf>
    <xf numFmtId="2" fontId="2" fillId="2" borderId="18" xfId="0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22" xfId="0" applyFont="1" applyBorder="1"/>
    <xf numFmtId="164" fontId="2" fillId="0" borderId="19" xfId="0" applyNumberFormat="1" applyFont="1" applyBorder="1" applyAlignment="1">
      <alignment horizontal="center"/>
    </xf>
    <xf numFmtId="14" fontId="2" fillId="0" borderId="0" xfId="0" applyNumberFormat="1" applyFont="1"/>
    <xf numFmtId="0" fontId="2" fillId="0" borderId="1" xfId="0" applyFont="1" applyBorder="1" applyAlignment="1">
      <alignment horizontal="left"/>
    </xf>
    <xf numFmtId="2" fontId="2" fillId="0" borderId="0" xfId="0" applyNumberFormat="1" applyFont="1" applyAlignment="1">
      <alignment horizontal="right"/>
    </xf>
    <xf numFmtId="0" fontId="2" fillId="2" borderId="0" xfId="0" applyFont="1" applyFill="1"/>
    <xf numFmtId="0" fontId="2" fillId="0" borderId="0" xfId="0" applyFont="1" applyAlignment="1">
      <alignment horizontal="right"/>
    </xf>
    <xf numFmtId="164" fontId="1" fillId="0" borderId="0" xfId="0" applyNumberFormat="1" applyFont="1"/>
    <xf numFmtId="0" fontId="1" fillId="0" borderId="0" xfId="0" applyFont="1"/>
    <xf numFmtId="10" fontId="2" fillId="0" borderId="0" xfId="0" applyNumberFormat="1" applyFont="1" applyAlignment="1">
      <alignment horizontal="center"/>
    </xf>
    <xf numFmtId="0" fontId="4" fillId="0" borderId="20" xfId="0" applyFont="1" applyBorder="1" applyAlignment="1">
      <alignment horizontal="center"/>
    </xf>
    <xf numFmtId="10" fontId="2" fillId="0" borderId="0" xfId="2" applyNumberFormat="1" applyFont="1" applyAlignment="1">
      <alignment horizontal="center"/>
    </xf>
    <xf numFmtId="10" fontId="2" fillId="0" borderId="4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10" fontId="2" fillId="0" borderId="4" xfId="0" applyNumberFormat="1" applyFont="1" applyBorder="1"/>
    <xf numFmtId="14" fontId="2" fillId="0" borderId="10" xfId="0" applyNumberFormat="1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2" fontId="2" fillId="0" borderId="3" xfId="0" applyNumberFormat="1" applyFont="1" applyBorder="1" applyAlignment="1">
      <alignment horizontal="center"/>
    </xf>
    <xf numFmtId="0" fontId="2" fillId="0" borderId="19" xfId="0" applyFont="1" applyBorder="1"/>
    <xf numFmtId="2" fontId="2" fillId="0" borderId="0" xfId="0" applyNumberFormat="1" applyFont="1" applyAlignment="1">
      <alignment horizontal="center"/>
    </xf>
    <xf numFmtId="10" fontId="2" fillId="0" borderId="2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left"/>
    </xf>
    <xf numFmtId="0" fontId="16" fillId="0" borderId="0" xfId="0" applyFont="1"/>
    <xf numFmtId="49" fontId="0" fillId="0" borderId="0" xfId="0" applyNumberFormat="1"/>
    <xf numFmtId="14" fontId="0" fillId="0" borderId="0" xfId="0" applyNumberFormat="1"/>
    <xf numFmtId="0" fontId="2" fillId="2" borderId="0" xfId="0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2" fontId="2" fillId="0" borderId="18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64" fontId="2" fillId="0" borderId="24" xfId="0" applyNumberFormat="1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164" fontId="2" fillId="2" borderId="23" xfId="0" applyNumberFormat="1" applyFont="1" applyFill="1" applyBorder="1" applyAlignment="1">
      <alignment horizontal="center"/>
    </xf>
    <xf numFmtId="164" fontId="2" fillId="2" borderId="24" xfId="0" applyNumberFormat="1" applyFont="1" applyFill="1" applyBorder="1" applyAlignment="1">
      <alignment horizontal="center"/>
    </xf>
    <xf numFmtId="2" fontId="2" fillId="2" borderId="23" xfId="0" applyNumberFormat="1" applyFont="1" applyFill="1" applyBorder="1" applyAlignment="1">
      <alignment horizontal="center"/>
    </xf>
    <xf numFmtId="2" fontId="2" fillId="2" borderId="24" xfId="0" applyNumberFormat="1" applyFont="1" applyFill="1" applyBorder="1" applyAlignment="1">
      <alignment horizontal="center"/>
    </xf>
    <xf numFmtId="2" fontId="2" fillId="2" borderId="25" xfId="0" applyNumberFormat="1" applyFont="1" applyFill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164" fontId="2" fillId="2" borderId="25" xfId="0" applyNumberFormat="1" applyFont="1" applyFill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3" xfId="0" applyFont="1" applyBorder="1"/>
    <xf numFmtId="2" fontId="7" fillId="0" borderId="10" xfId="1" applyNumberFormat="1" applyBorder="1" applyProtection="1">
      <protection locked="0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2" fontId="2" fillId="10" borderId="23" xfId="0" applyNumberFormat="1" applyFont="1" applyFill="1" applyBorder="1" applyAlignment="1">
      <alignment horizontal="center"/>
    </xf>
    <xf numFmtId="2" fontId="2" fillId="10" borderId="24" xfId="0" applyNumberFormat="1" applyFont="1" applyFill="1" applyBorder="1" applyAlignment="1">
      <alignment horizontal="center"/>
    </xf>
    <xf numFmtId="2" fontId="2" fillId="10" borderId="25" xfId="0" applyNumberFormat="1" applyFont="1" applyFill="1" applyBorder="1" applyAlignment="1">
      <alignment horizontal="center"/>
    </xf>
    <xf numFmtId="2" fontId="2" fillId="10" borderId="2" xfId="0" applyNumberFormat="1" applyFont="1" applyFill="1" applyBorder="1" applyAlignment="1">
      <alignment horizontal="center"/>
    </xf>
    <xf numFmtId="10" fontId="2" fillId="10" borderId="2" xfId="0" applyNumberFormat="1" applyFont="1" applyFill="1" applyBorder="1" applyAlignment="1">
      <alignment horizontal="center"/>
    </xf>
    <xf numFmtId="164" fontId="2" fillId="10" borderId="2" xfId="0" applyNumberFormat="1" applyFont="1" applyFill="1" applyBorder="1" applyAlignment="1">
      <alignment horizontal="center"/>
    </xf>
    <xf numFmtId="2" fontId="2" fillId="11" borderId="23" xfId="0" applyNumberFormat="1" applyFont="1" applyFill="1" applyBorder="1" applyAlignment="1">
      <alignment horizontal="center"/>
    </xf>
    <xf numFmtId="2" fontId="2" fillId="11" borderId="24" xfId="0" applyNumberFormat="1" applyFont="1" applyFill="1" applyBorder="1" applyAlignment="1">
      <alignment horizontal="center"/>
    </xf>
    <xf numFmtId="2" fontId="2" fillId="11" borderId="25" xfId="0" applyNumberFormat="1" applyFont="1" applyFill="1" applyBorder="1" applyAlignment="1">
      <alignment horizontal="center"/>
    </xf>
    <xf numFmtId="2" fontId="2" fillId="11" borderId="0" xfId="0" applyNumberFormat="1" applyFont="1" applyFill="1" applyAlignment="1">
      <alignment horizontal="center"/>
    </xf>
    <xf numFmtId="0" fontId="2" fillId="11" borderId="0" xfId="0" applyFont="1" applyFill="1"/>
    <xf numFmtId="0" fontId="2" fillId="11" borderId="20" xfId="0" applyFont="1" applyFill="1" applyBorder="1"/>
    <xf numFmtId="0" fontId="2" fillId="11" borderId="2" xfId="0" applyFont="1" applyFill="1" applyBorder="1"/>
    <xf numFmtId="2" fontId="2" fillId="11" borderId="2" xfId="0" applyNumberFormat="1" applyFont="1" applyFill="1" applyBorder="1" applyAlignment="1">
      <alignment horizontal="center"/>
    </xf>
    <xf numFmtId="10" fontId="2" fillId="11" borderId="2" xfId="0" applyNumberFormat="1" applyFont="1" applyFill="1" applyBorder="1" applyAlignment="1">
      <alignment horizontal="center"/>
    </xf>
    <xf numFmtId="164" fontId="2" fillId="11" borderId="2" xfId="0" applyNumberFormat="1" applyFont="1" applyFill="1" applyBorder="1" applyAlignment="1">
      <alignment horizontal="center"/>
    </xf>
    <xf numFmtId="0" fontId="1" fillId="9" borderId="0" xfId="0" applyFont="1" applyFill="1"/>
    <xf numFmtId="164" fontId="1" fillId="9" borderId="0" xfId="0" applyNumberFormat="1" applyFont="1" applyFill="1"/>
    <xf numFmtId="9" fontId="2" fillId="0" borderId="1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0" xfId="2" applyNumberFormat="1" applyFont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14" fontId="2" fillId="10" borderId="20" xfId="0" applyNumberFormat="1" applyFont="1" applyFill="1" applyBorder="1"/>
    <xf numFmtId="14" fontId="2" fillId="10" borderId="0" xfId="0" applyNumberFormat="1" applyFont="1" applyFill="1"/>
    <xf numFmtId="14" fontId="2" fillId="10" borderId="2" xfId="0" applyNumberFormat="1" applyFont="1" applyFill="1" applyBorder="1"/>
    <xf numFmtId="0" fontId="2" fillId="10" borderId="19" xfId="0" applyFont="1" applyFill="1" applyBorder="1" applyAlignment="1">
      <alignment wrapText="1"/>
    </xf>
    <xf numFmtId="0" fontId="2" fillId="11" borderId="19" xfId="0" applyFont="1" applyFill="1" applyBorder="1" applyAlignment="1">
      <alignment wrapText="1"/>
    </xf>
    <xf numFmtId="14" fontId="2" fillId="0" borderId="10" xfId="0" applyNumberFormat="1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164" fontId="2" fillId="7" borderId="21" xfId="0" applyNumberFormat="1" applyFont="1" applyFill="1" applyBorder="1" applyAlignment="1">
      <alignment horizontal="center"/>
    </xf>
    <xf numFmtId="164" fontId="1" fillId="7" borderId="21" xfId="0" applyNumberFormat="1" applyFont="1" applyFill="1" applyBorder="1" applyAlignment="1">
      <alignment horizontal="center"/>
    </xf>
    <xf numFmtId="2" fontId="2" fillId="7" borderId="21" xfId="0" applyNumberFormat="1" applyFont="1" applyFill="1" applyBorder="1" applyAlignment="1">
      <alignment horizontal="center"/>
    </xf>
    <xf numFmtId="2" fontId="2" fillId="3" borderId="23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1" fillId="0" borderId="6" xfId="0" applyFont="1" applyBorder="1" applyAlignment="1">
      <alignment wrapText="1"/>
    </xf>
    <xf numFmtId="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17" fillId="9" borderId="5" xfId="0" applyNumberFormat="1" applyFont="1" applyFill="1" applyBorder="1" applyAlignment="1">
      <alignment horizontal="center"/>
    </xf>
    <xf numFmtId="0" fontId="17" fillId="0" borderId="19" xfId="0" applyFont="1" applyBorder="1"/>
    <xf numFmtId="0" fontId="17" fillId="0" borderId="0" xfId="0" applyFont="1"/>
    <xf numFmtId="0" fontId="17" fillId="0" borderId="0" xfId="0" applyFont="1" applyAlignment="1">
      <alignment horizontal="center"/>
    </xf>
    <xf numFmtId="164" fontId="17" fillId="0" borderId="4" xfId="0" applyNumberFormat="1" applyFont="1" applyBorder="1" applyAlignment="1">
      <alignment horizontal="center"/>
    </xf>
    <xf numFmtId="164" fontId="17" fillId="9" borderId="4" xfId="0" applyNumberFormat="1" applyFont="1" applyFill="1" applyBorder="1" applyAlignment="1">
      <alignment horizontal="center"/>
    </xf>
    <xf numFmtId="164" fontId="17" fillId="0" borderId="0" xfId="0" applyNumberFormat="1" applyFont="1"/>
    <xf numFmtId="0" fontId="17" fillId="0" borderId="2" xfId="0" applyFont="1" applyBorder="1"/>
    <xf numFmtId="0" fontId="17" fillId="0" borderId="19" xfId="0" applyFont="1" applyBorder="1" applyAlignment="1">
      <alignment horizontal="center"/>
    </xf>
    <xf numFmtId="164" fontId="17" fillId="0" borderId="3" xfId="0" applyNumberFormat="1" applyFont="1" applyBorder="1" applyAlignment="1">
      <alignment horizontal="center"/>
    </xf>
    <xf numFmtId="0" fontId="17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4" fontId="2" fillId="0" borderId="23" xfId="0" applyNumberFormat="1" applyFont="1" applyBorder="1" applyAlignment="1">
      <alignment horizontal="center"/>
    </xf>
    <xf numFmtId="4" fontId="2" fillId="0" borderId="24" xfId="0" applyNumberFormat="1" applyFont="1" applyBorder="1" applyAlignment="1">
      <alignment horizontal="center"/>
    </xf>
    <xf numFmtId="4" fontId="2" fillId="0" borderId="25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11" borderId="24" xfId="0" applyFont="1" applyFill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2" fillId="0" borderId="18" xfId="0" applyFont="1" applyBorder="1"/>
    <xf numFmtId="2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wrapText="1"/>
    </xf>
    <xf numFmtId="164" fontId="2" fillId="0" borderId="4" xfId="0" applyNumberFormat="1" applyFont="1" applyBorder="1" applyAlignment="1">
      <alignment wrapText="1"/>
    </xf>
    <xf numFmtId="0" fontId="2" fillId="0" borderId="19" xfId="0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0" fontId="2" fillId="3" borderId="0" xfId="0" applyFont="1" applyFill="1"/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center"/>
    </xf>
    <xf numFmtId="2" fontId="2" fillId="3" borderId="18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2" fontId="2" fillId="3" borderId="24" xfId="0" applyNumberFormat="1" applyFont="1" applyFill="1" applyBorder="1" applyAlignment="1">
      <alignment horizontal="center"/>
    </xf>
    <xf numFmtId="2" fontId="2" fillId="3" borderId="25" xfId="0" applyNumberFormat="1" applyFont="1" applyFill="1" applyBorder="1" applyAlignment="1">
      <alignment horizontal="center"/>
    </xf>
    <xf numFmtId="164" fontId="2" fillId="3" borderId="23" xfId="0" applyNumberFormat="1" applyFont="1" applyFill="1" applyBorder="1" applyAlignment="1">
      <alignment horizontal="center"/>
    </xf>
    <xf numFmtId="164" fontId="2" fillId="3" borderId="24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4" fontId="2" fillId="3" borderId="24" xfId="0" applyNumberFormat="1" applyFont="1" applyFill="1" applyBorder="1"/>
    <xf numFmtId="2" fontId="2" fillId="12" borderId="23" xfId="0" applyNumberFormat="1" applyFont="1" applyFill="1" applyBorder="1" applyAlignment="1">
      <alignment horizontal="center"/>
    </xf>
    <xf numFmtId="2" fontId="2" fillId="12" borderId="24" xfId="0" applyNumberFormat="1" applyFont="1" applyFill="1" applyBorder="1" applyAlignment="1">
      <alignment horizontal="center"/>
    </xf>
    <xf numFmtId="2" fontId="2" fillId="12" borderId="25" xfId="0" applyNumberFormat="1" applyFont="1" applyFill="1" applyBorder="1" applyAlignment="1">
      <alignment horizontal="center"/>
    </xf>
    <xf numFmtId="0" fontId="2" fillId="12" borderId="24" xfId="0" applyFont="1" applyFill="1" applyBorder="1" applyAlignment="1">
      <alignment horizontal="center"/>
    </xf>
    <xf numFmtId="0" fontId="2" fillId="12" borderId="19" xfId="0" applyFont="1" applyFill="1" applyBorder="1" applyAlignment="1">
      <alignment wrapText="1"/>
    </xf>
    <xf numFmtId="14" fontId="2" fillId="12" borderId="0" xfId="0" applyNumberFormat="1" applyFont="1" applyFill="1" applyAlignment="1">
      <alignment horizontal="center"/>
    </xf>
    <xf numFmtId="14" fontId="2" fillId="12" borderId="20" xfId="0" applyNumberFormat="1" applyFont="1" applyFill="1" applyBorder="1" applyAlignment="1">
      <alignment horizontal="center"/>
    </xf>
    <xf numFmtId="14" fontId="2" fillId="12" borderId="2" xfId="0" applyNumberFormat="1" applyFont="1" applyFill="1" applyBorder="1" applyAlignment="1">
      <alignment horizontal="center"/>
    </xf>
    <xf numFmtId="2" fontId="2" fillId="12" borderId="2" xfId="0" applyNumberFormat="1" applyFont="1" applyFill="1" applyBorder="1" applyAlignment="1">
      <alignment horizontal="center"/>
    </xf>
    <xf numFmtId="10" fontId="2" fillId="12" borderId="2" xfId="0" applyNumberFormat="1" applyFont="1" applyFill="1" applyBorder="1" applyAlignment="1">
      <alignment horizontal="center"/>
    </xf>
    <xf numFmtId="164" fontId="2" fillId="12" borderId="2" xfId="0" applyNumberFormat="1" applyFont="1" applyFill="1" applyBorder="1" applyAlignment="1">
      <alignment horizontal="center"/>
    </xf>
    <xf numFmtId="0" fontId="1" fillId="13" borderId="1" xfId="0" applyFont="1" applyFill="1" applyBorder="1"/>
    <xf numFmtId="0" fontId="1" fillId="13" borderId="0" xfId="0" applyFont="1" applyFill="1"/>
    <xf numFmtId="164" fontId="1" fillId="13" borderId="0" xfId="0" applyNumberFormat="1" applyFont="1" applyFill="1" applyAlignment="1">
      <alignment horizontal="center"/>
    </xf>
    <xf numFmtId="164" fontId="1" fillId="13" borderId="2" xfId="0" applyNumberFormat="1" applyFont="1" applyFill="1" applyBorder="1" applyAlignment="1">
      <alignment horizontal="center"/>
    </xf>
    <xf numFmtId="0" fontId="1" fillId="13" borderId="3" xfId="0" applyFont="1" applyFill="1" applyBorder="1"/>
    <xf numFmtId="0" fontId="1" fillId="13" borderId="4" xfId="0" applyFont="1" applyFill="1" applyBorder="1"/>
    <xf numFmtId="164" fontId="1" fillId="13" borderId="4" xfId="0" applyNumberFormat="1" applyFont="1" applyFill="1" applyBorder="1" applyAlignment="1">
      <alignment horizontal="center"/>
    </xf>
    <xf numFmtId="164" fontId="1" fillId="13" borderId="5" xfId="0" applyNumberFormat="1" applyFont="1" applyFill="1" applyBorder="1" applyAlignment="1">
      <alignment horizontal="center"/>
    </xf>
    <xf numFmtId="0" fontId="2" fillId="13" borderId="0" xfId="0" applyFont="1" applyFill="1"/>
    <xf numFmtId="164" fontId="2" fillId="13" borderId="0" xfId="0" applyNumberFormat="1" applyFont="1" applyFill="1"/>
    <xf numFmtId="2" fontId="2" fillId="14" borderId="1" xfId="0" applyNumberFormat="1" applyFont="1" applyFill="1" applyBorder="1" applyAlignment="1">
      <alignment horizontal="center"/>
    </xf>
    <xf numFmtId="2" fontId="2" fillId="14" borderId="3" xfId="0" applyNumberFormat="1" applyFont="1" applyFill="1" applyBorder="1" applyAlignment="1">
      <alignment horizontal="center"/>
    </xf>
    <xf numFmtId="2" fontId="2" fillId="3" borderId="0" xfId="0" applyNumberFormat="1" applyFont="1" applyFill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164" fontId="2" fillId="3" borderId="0" xfId="0" applyNumberFormat="1" applyFont="1" applyFill="1"/>
    <xf numFmtId="164" fontId="2" fillId="3" borderId="4" xfId="0" applyNumberFormat="1" applyFont="1" applyFill="1" applyBorder="1"/>
    <xf numFmtId="164" fontId="17" fillId="14" borderId="3" xfId="0" applyNumberFormat="1" applyFont="1" applyFill="1" applyBorder="1" applyAlignment="1">
      <alignment horizontal="center"/>
    </xf>
    <xf numFmtId="2" fontId="2" fillId="9" borderId="0" xfId="0" applyNumberFormat="1" applyFont="1" applyFill="1"/>
    <xf numFmtId="0" fontId="7" fillId="0" borderId="0" xfId="1" applyProtection="1">
      <protection locked="0"/>
    </xf>
    <xf numFmtId="2" fontId="7" fillId="0" borderId="0" xfId="1" applyNumberFormat="1" applyProtection="1">
      <protection locked="0"/>
    </xf>
    <xf numFmtId="44" fontId="10" fillId="0" borderId="5" xfId="1" applyNumberFormat="1" applyFont="1" applyBorder="1"/>
    <xf numFmtId="0" fontId="19" fillId="0" borderId="4" xfId="1" applyFont="1" applyBorder="1" applyAlignment="1" applyProtection="1">
      <alignment horizontal="right"/>
      <protection locked="0"/>
    </xf>
    <xf numFmtId="0" fontId="7" fillId="0" borderId="4" xfId="1" applyBorder="1" applyProtection="1">
      <protection locked="0"/>
    </xf>
    <xf numFmtId="2" fontId="7" fillId="0" borderId="3" xfId="1" applyNumberFormat="1" applyBorder="1" applyProtection="1">
      <protection locked="0"/>
    </xf>
    <xf numFmtId="44" fontId="11" fillId="0" borderId="2" xfId="1" applyNumberFormat="1" applyFont="1" applyBorder="1"/>
    <xf numFmtId="0" fontId="20" fillId="0" borderId="0" xfId="1" applyFont="1" applyAlignment="1" applyProtection="1">
      <alignment horizontal="left"/>
      <protection locked="0"/>
    </xf>
    <xf numFmtId="0" fontId="20" fillId="0" borderId="1" xfId="1" applyFont="1" applyBorder="1" applyAlignment="1" applyProtection="1">
      <alignment horizontal="left"/>
      <protection locked="0"/>
    </xf>
    <xf numFmtId="44" fontId="10" fillId="0" borderId="2" xfId="1" applyNumberFormat="1" applyFont="1" applyBorder="1"/>
    <xf numFmtId="0" fontId="19" fillId="0" borderId="0" xfId="1" applyFont="1" applyAlignment="1" applyProtection="1">
      <alignment horizontal="right"/>
      <protection locked="0"/>
    </xf>
    <xf numFmtId="0" fontId="7" fillId="0" borderId="1" xfId="1" applyBorder="1" applyProtection="1">
      <protection locked="0"/>
    </xf>
    <xf numFmtId="0" fontId="10" fillId="0" borderId="0" xfId="1" applyFont="1" applyProtection="1">
      <protection locked="0"/>
    </xf>
    <xf numFmtId="44" fontId="20" fillId="0" borderId="2" xfId="1" applyNumberFormat="1" applyFont="1" applyBorder="1"/>
    <xf numFmtId="44" fontId="11" fillId="0" borderId="5" xfId="1" applyNumberFormat="1" applyFont="1" applyBorder="1"/>
    <xf numFmtId="0" fontId="11" fillId="0" borderId="4" xfId="1" applyFont="1" applyBorder="1" applyProtection="1">
      <protection locked="0"/>
    </xf>
    <xf numFmtId="0" fontId="11" fillId="0" borderId="3" xfId="1" applyFont="1" applyBorder="1" applyAlignment="1">
      <alignment horizontal="center"/>
    </xf>
    <xf numFmtId="0" fontId="10" fillId="0" borderId="1" xfId="1" applyFont="1" applyBorder="1" applyProtection="1">
      <protection locked="0"/>
    </xf>
    <xf numFmtId="167" fontId="11" fillId="0" borderId="20" xfId="3" applyNumberFormat="1" applyFont="1" applyFill="1" applyBorder="1" applyAlignment="1" applyProtection="1">
      <alignment horizontal="center"/>
    </xf>
    <xf numFmtId="0" fontId="11" fillId="0" borderId="19" xfId="1" applyFont="1" applyBorder="1" applyProtection="1">
      <protection locked="0"/>
    </xf>
    <xf numFmtId="0" fontId="11" fillId="0" borderId="18" xfId="1" applyFont="1" applyBorder="1" applyProtection="1">
      <protection locked="0"/>
    </xf>
    <xf numFmtId="44" fontId="10" fillId="0" borderId="2" xfId="3" applyFont="1" applyFill="1" applyBorder="1" applyProtection="1"/>
    <xf numFmtId="44" fontId="10" fillId="0" borderId="0" xfId="1" applyNumberFormat="1" applyFont="1"/>
    <xf numFmtId="0" fontId="10" fillId="14" borderId="1" xfId="1" applyFont="1" applyFill="1" applyBorder="1" applyProtection="1">
      <protection locked="0"/>
    </xf>
    <xf numFmtId="44" fontId="10" fillId="0" borderId="20" xfId="1" applyNumberFormat="1" applyFont="1" applyBorder="1"/>
    <xf numFmtId="2" fontId="10" fillId="14" borderId="1" xfId="1" applyNumberFormat="1" applyFont="1" applyFill="1" applyBorder="1" applyProtection="1">
      <protection locked="0"/>
    </xf>
    <xf numFmtId="0" fontId="11" fillId="0" borderId="8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44" fontId="11" fillId="15" borderId="2" xfId="1" applyNumberFormat="1" applyFont="1" applyFill="1" applyBorder="1" applyProtection="1">
      <protection locked="0"/>
    </xf>
    <xf numFmtId="0" fontId="11" fillId="15" borderId="0" xfId="1" applyFont="1" applyFill="1" applyProtection="1">
      <protection locked="0"/>
    </xf>
    <xf numFmtId="0" fontId="20" fillId="15" borderId="1" xfId="1" applyFont="1" applyFill="1" applyBorder="1" applyProtection="1">
      <protection locked="0"/>
    </xf>
    <xf numFmtId="0" fontId="11" fillId="15" borderId="2" xfId="1" applyFont="1" applyFill="1" applyBorder="1"/>
    <xf numFmtId="0" fontId="11" fillId="15" borderId="1" xfId="1" applyFont="1" applyFill="1" applyBorder="1" applyProtection="1">
      <protection locked="0"/>
    </xf>
    <xf numFmtId="0" fontId="7" fillId="16" borderId="0" xfId="1" applyFill="1" applyProtection="1">
      <protection locked="0"/>
    </xf>
    <xf numFmtId="0" fontId="11" fillId="0" borderId="4" xfId="1" applyFont="1" applyBorder="1" applyAlignment="1" applyProtection="1">
      <alignment horizontal="right"/>
      <protection locked="0"/>
    </xf>
    <xf numFmtId="0" fontId="10" fillId="0" borderId="3" xfId="1" applyFont="1" applyBorder="1" applyAlignment="1" applyProtection="1">
      <alignment horizontal="center"/>
      <protection locked="0"/>
    </xf>
    <xf numFmtId="44" fontId="10" fillId="14" borderId="2" xfId="1" applyNumberFormat="1" applyFont="1" applyFill="1" applyBorder="1"/>
    <xf numFmtId="0" fontId="11" fillId="0" borderId="0" xfId="1" applyFont="1" applyAlignment="1">
      <alignment horizontal="right"/>
    </xf>
    <xf numFmtId="0" fontId="10" fillId="0" borderId="1" xfId="1" applyFont="1" applyBorder="1" applyAlignment="1" applyProtection="1">
      <alignment horizontal="center"/>
      <protection locked="0"/>
    </xf>
    <xf numFmtId="0" fontId="10" fillId="0" borderId="20" xfId="1" applyFont="1" applyBorder="1" applyProtection="1">
      <protection locked="0"/>
    </xf>
    <xf numFmtId="10" fontId="10" fillId="14" borderId="0" xfId="1" applyNumberFormat="1" applyFont="1" applyFill="1" applyProtection="1">
      <protection locked="0"/>
    </xf>
    <xf numFmtId="9" fontId="11" fillId="0" borderId="1" xfId="1" applyNumberFormat="1" applyFont="1" applyBorder="1" applyAlignment="1">
      <alignment horizontal="center"/>
    </xf>
    <xf numFmtId="0" fontId="11" fillId="0" borderId="0" xfId="1" applyFont="1" applyAlignment="1" applyProtection="1">
      <alignment horizontal="right"/>
      <protection locked="0"/>
    </xf>
    <xf numFmtId="0" fontId="10" fillId="0" borderId="2" xfId="1" applyFont="1" applyBorder="1" applyProtection="1">
      <protection locked="0"/>
    </xf>
    <xf numFmtId="14" fontId="10" fillId="14" borderId="0" xfId="1" applyNumberFormat="1" applyFont="1" applyFill="1" applyProtection="1">
      <protection locked="0"/>
    </xf>
    <xf numFmtId="0" fontId="10" fillId="14" borderId="0" xfId="1" applyFont="1" applyFill="1" applyProtection="1">
      <protection locked="0"/>
    </xf>
    <xf numFmtId="0" fontId="10" fillId="16" borderId="0" xfId="1" applyFont="1" applyFill="1" applyProtection="1">
      <protection locked="0"/>
    </xf>
    <xf numFmtId="0" fontId="20" fillId="0" borderId="0" xfId="1" applyFont="1"/>
    <xf numFmtId="44" fontId="20" fillId="0" borderId="5" xfId="1" applyNumberFormat="1" applyFont="1" applyBorder="1"/>
    <xf numFmtId="44" fontId="10" fillId="0" borderId="0" xfId="3" applyFont="1" applyFill="1" applyBorder="1" applyProtection="1"/>
    <xf numFmtId="0" fontId="7" fillId="15" borderId="0" xfId="1" applyFill="1" applyProtection="1">
      <protection locked="0"/>
    </xf>
    <xf numFmtId="0" fontId="19" fillId="15" borderId="1" xfId="1" applyFont="1" applyFill="1" applyBorder="1" applyProtection="1">
      <protection locked="0"/>
    </xf>
    <xf numFmtId="0" fontId="21" fillId="0" borderId="2" xfId="1" applyFont="1" applyBorder="1" applyAlignment="1" applyProtection="1">
      <alignment horizontal="center"/>
      <protection locked="0"/>
    </xf>
    <xf numFmtId="0" fontId="21" fillId="0" borderId="0" xfId="1" applyFont="1" applyAlignment="1" applyProtection="1">
      <alignment horizontal="center"/>
      <protection locked="0"/>
    </xf>
    <xf numFmtId="0" fontId="21" fillId="0" borderId="1" xfId="1" applyFont="1" applyBorder="1" applyAlignment="1" applyProtection="1">
      <alignment horizontal="center"/>
      <protection locked="0"/>
    </xf>
    <xf numFmtId="44" fontId="10" fillId="14" borderId="2" xfId="1" applyNumberFormat="1" applyFont="1" applyFill="1" applyBorder="1" applyProtection="1">
      <protection locked="0"/>
    </xf>
    <xf numFmtId="0" fontId="19" fillId="15" borderId="0" xfId="1" applyFont="1" applyFill="1" applyProtection="1">
      <protection locked="0"/>
    </xf>
    <xf numFmtId="0" fontId="19" fillId="0" borderId="0" xfId="1" applyFont="1" applyAlignment="1" applyProtection="1">
      <alignment horizontal="center"/>
      <protection locked="0"/>
    </xf>
    <xf numFmtId="0" fontId="11" fillId="14" borderId="1" xfId="1" applyFont="1" applyFill="1" applyBorder="1" applyProtection="1">
      <protection locked="0"/>
    </xf>
    <xf numFmtId="44" fontId="10" fillId="0" borderId="0" xfId="3" applyFont="1" applyBorder="1" applyProtection="1"/>
    <xf numFmtId="44" fontId="11" fillId="0" borderId="8" xfId="3" applyFont="1" applyFill="1" applyBorder="1" applyProtection="1"/>
    <xf numFmtId="44" fontId="10" fillId="0" borderId="1" xfId="1" applyNumberFormat="1" applyFont="1" applyBorder="1"/>
    <xf numFmtId="165" fontId="10" fillId="0" borderId="2" xfId="1" applyNumberFormat="1" applyFont="1" applyBorder="1"/>
    <xf numFmtId="0" fontId="19" fillId="0" borderId="0" xfId="1" applyFont="1" applyProtection="1">
      <protection locked="0"/>
    </xf>
    <xf numFmtId="0" fontId="11" fillId="14" borderId="0" xfId="1" applyFont="1" applyFill="1" applyProtection="1">
      <protection locked="0"/>
    </xf>
    <xf numFmtId="44" fontId="11" fillId="14" borderId="1" xfId="3" applyFont="1" applyFill="1" applyBorder="1" applyAlignment="1" applyProtection="1">
      <alignment horizontal="center"/>
      <protection locked="0"/>
    </xf>
    <xf numFmtId="10" fontId="10" fillId="0" borderId="1" xfId="1" applyNumberFormat="1" applyFont="1" applyBorder="1" applyProtection="1">
      <protection locked="0"/>
    </xf>
    <xf numFmtId="0" fontId="10" fillId="14" borderId="0" xfId="3" applyNumberFormat="1" applyFont="1" applyFill="1" applyBorder="1" applyProtection="1">
      <protection locked="0"/>
    </xf>
    <xf numFmtId="44" fontId="10" fillId="14" borderId="1" xfId="1" applyNumberFormat="1" applyFont="1" applyFill="1" applyBorder="1" applyProtection="1">
      <protection locked="0"/>
    </xf>
    <xf numFmtId="165" fontId="10" fillId="14" borderId="2" xfId="1" applyNumberFormat="1" applyFont="1" applyFill="1" applyBorder="1" applyProtection="1">
      <protection locked="0"/>
    </xf>
    <xf numFmtId="0" fontId="20" fillId="0" borderId="0" xfId="1" applyFont="1" applyProtection="1">
      <protection locked="0"/>
    </xf>
    <xf numFmtId="44" fontId="10" fillId="0" borderId="0" xfId="3" applyFont="1" applyBorder="1" applyAlignment="1" applyProtection="1">
      <protection locked="0"/>
    </xf>
    <xf numFmtId="0" fontId="21" fillId="0" borderId="2" xfId="1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1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1" applyFont="1"/>
    <xf numFmtId="44" fontId="11" fillId="0" borderId="0" xfId="3" applyFont="1" applyBorder="1" applyAlignment="1" applyProtection="1">
      <alignment horizontal="right"/>
      <protection locked="0"/>
    </xf>
    <xf numFmtId="0" fontId="11" fillId="0" borderId="0" xfId="1" applyFont="1" applyProtection="1">
      <protection locked="0"/>
    </xf>
    <xf numFmtId="0" fontId="10" fillId="0" borderId="0" xfId="1" applyFont="1" applyAlignment="1" applyProtection="1">
      <alignment horizontal="left"/>
      <protection locked="0"/>
    </xf>
    <xf numFmtId="0" fontId="10" fillId="14" borderId="0" xfId="1" applyFont="1" applyFill="1" applyAlignment="1" applyProtection="1">
      <alignment horizontal="center"/>
      <protection locked="0"/>
    </xf>
    <xf numFmtId="0" fontId="10" fillId="0" borderId="0" xfId="1" applyFont="1"/>
    <xf numFmtId="0" fontId="22" fillId="0" borderId="0" xfId="1" applyFont="1" applyAlignment="1">
      <alignment horizontal="center"/>
    </xf>
    <xf numFmtId="14" fontId="10" fillId="14" borderId="0" xfId="1" applyNumberFormat="1" applyFont="1" applyFill="1" applyAlignment="1" applyProtection="1">
      <alignment horizontal="center"/>
      <protection locked="0"/>
    </xf>
    <xf numFmtId="14" fontId="10" fillId="0" borderId="0" xfId="1" applyNumberFormat="1" applyFont="1" applyProtection="1">
      <protection locked="0"/>
    </xf>
    <xf numFmtId="0" fontId="11" fillId="14" borderId="0" xfId="1" applyFont="1" applyFill="1" applyAlignment="1" applyProtection="1">
      <alignment horizontal="right"/>
      <protection locked="0"/>
    </xf>
    <xf numFmtId="0" fontId="11" fillId="0" borderId="0" xfId="1" applyFont="1" applyAlignment="1" applyProtection="1">
      <alignment horizontal="center"/>
      <protection locked="0"/>
    </xf>
    <xf numFmtId="44" fontId="11" fillId="0" borderId="0" xfId="1" applyNumberFormat="1" applyFont="1"/>
    <xf numFmtId="165" fontId="10" fillId="0" borderId="0" xfId="1" applyNumberFormat="1" applyFont="1"/>
    <xf numFmtId="0" fontId="10" fillId="0" borderId="4" xfId="1" applyFont="1" applyBorder="1" applyProtection="1">
      <protection locked="0"/>
    </xf>
    <xf numFmtId="9" fontId="20" fillId="0" borderId="0" xfId="1" applyNumberFormat="1" applyFont="1"/>
    <xf numFmtId="0" fontId="20" fillId="0" borderId="1" xfId="1" applyFont="1" applyBorder="1" applyProtection="1">
      <protection locked="0"/>
    </xf>
    <xf numFmtId="0" fontId="7" fillId="0" borderId="2" xfId="1" applyBorder="1" applyProtection="1">
      <protection locked="0"/>
    </xf>
    <xf numFmtId="44" fontId="11" fillId="15" borderId="2" xfId="1" applyNumberFormat="1" applyFont="1" applyFill="1" applyBorder="1"/>
    <xf numFmtId="14" fontId="10" fillId="14" borderId="0" xfId="1" applyNumberFormat="1" applyFont="1" applyFill="1" applyAlignment="1" applyProtection="1">
      <alignment horizontal="right"/>
      <protection locked="0"/>
    </xf>
    <xf numFmtId="0" fontId="10" fillId="14" borderId="0" xfId="1" applyFont="1" applyFill="1" applyAlignment="1" applyProtection="1">
      <alignment horizontal="right"/>
      <protection locked="0"/>
    </xf>
    <xf numFmtId="9" fontId="10" fillId="14" borderId="1" xfId="1" applyNumberFormat="1" applyFont="1" applyFill="1" applyBorder="1" applyAlignment="1" applyProtection="1">
      <alignment horizontal="center"/>
      <protection locked="0"/>
    </xf>
    <xf numFmtId="0" fontId="19" fillId="16" borderId="1" xfId="1" applyFont="1" applyFill="1" applyBorder="1" applyProtection="1">
      <protection locked="0"/>
    </xf>
    <xf numFmtId="0" fontId="19" fillId="16" borderId="0" xfId="1" applyFont="1" applyFill="1" applyProtection="1">
      <protection locked="0"/>
    </xf>
    <xf numFmtId="0" fontId="11" fillId="0" borderId="1" xfId="1" applyFont="1" applyBorder="1" applyProtection="1">
      <protection locked="0"/>
    </xf>
    <xf numFmtId="10" fontId="10" fillId="0" borderId="0" xfId="1" applyNumberFormat="1" applyFont="1" applyProtection="1">
      <protection locked="0"/>
    </xf>
    <xf numFmtId="0" fontId="7" fillId="0" borderId="0" xfId="1" applyAlignment="1" applyProtection="1">
      <alignment horizontal="center"/>
      <protection locked="0"/>
    </xf>
    <xf numFmtId="165" fontId="7" fillId="0" borderId="0" xfId="4" applyNumberFormat="1" applyFont="1" applyFill="1" applyBorder="1" applyProtection="1">
      <protection locked="0"/>
    </xf>
    <xf numFmtId="165" fontId="7" fillId="0" borderId="0" xfId="4" applyNumberFormat="1" applyFont="1" applyFill="1" applyBorder="1" applyProtection="1"/>
    <xf numFmtId="44" fontId="20" fillId="15" borderId="2" xfId="1" applyNumberFormat="1" applyFont="1" applyFill="1" applyBorder="1" applyProtection="1">
      <protection locked="0"/>
    </xf>
    <xf numFmtId="0" fontId="20" fillId="15" borderId="0" xfId="1" applyFont="1" applyFill="1" applyProtection="1">
      <protection locked="0"/>
    </xf>
    <xf numFmtId="9" fontId="10" fillId="0" borderId="4" xfId="1" applyNumberFormat="1" applyFont="1" applyBorder="1" applyAlignment="1">
      <alignment horizontal="right"/>
    </xf>
    <xf numFmtId="9" fontId="10" fillId="0" borderId="3" xfId="1" applyNumberFormat="1" applyFont="1" applyBorder="1" applyAlignment="1">
      <alignment horizontal="center"/>
    </xf>
    <xf numFmtId="0" fontId="19" fillId="0" borderId="2" xfId="1" applyFont="1" applyBorder="1" applyProtection="1">
      <protection locked="0"/>
    </xf>
    <xf numFmtId="0" fontId="19" fillId="0" borderId="1" xfId="1" applyFont="1" applyBorder="1" applyProtection="1">
      <protection locked="0"/>
    </xf>
    <xf numFmtId="0" fontId="11" fillId="0" borderId="18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0" fillId="16" borderId="19" xfId="1" applyFont="1" applyFill="1" applyBorder="1" applyProtection="1">
      <protection locked="0"/>
    </xf>
    <xf numFmtId="0" fontId="10" fillId="16" borderId="20" xfId="1" applyFont="1" applyFill="1" applyBorder="1" applyProtection="1">
      <protection locked="0"/>
    </xf>
    <xf numFmtId="0" fontId="7" fillId="16" borderId="19" xfId="1" applyFill="1" applyBorder="1" applyProtection="1">
      <protection locked="0"/>
    </xf>
    <xf numFmtId="0" fontId="7" fillId="16" borderId="20" xfId="1" applyFill="1" applyBorder="1" applyProtection="1">
      <protection locked="0"/>
    </xf>
    <xf numFmtId="164" fontId="1" fillId="9" borderId="5" xfId="0" applyNumberFormat="1" applyFont="1" applyFill="1" applyBorder="1"/>
    <xf numFmtId="0" fontId="1" fillId="9" borderId="4" xfId="0" applyFont="1" applyFill="1" applyBorder="1"/>
    <xf numFmtId="0" fontId="1" fillId="9" borderId="3" xfId="0" applyFont="1" applyFill="1" applyBorder="1"/>
    <xf numFmtId="164" fontId="1" fillId="9" borderId="2" xfId="0" applyNumberFormat="1" applyFont="1" applyFill="1" applyBorder="1"/>
    <xf numFmtId="0" fontId="1" fillId="9" borderId="1" xfId="0" applyFont="1" applyFill="1" applyBorder="1"/>
    <xf numFmtId="10" fontId="2" fillId="0" borderId="2" xfId="0" applyNumberFormat="1" applyFont="1" applyBorder="1"/>
    <xf numFmtId="0" fontId="2" fillId="2" borderId="2" xfId="0" applyFont="1" applyFill="1" applyBorder="1"/>
    <xf numFmtId="0" fontId="2" fillId="0" borderId="2" xfId="0" applyFont="1" applyBorder="1"/>
    <xf numFmtId="14" fontId="2" fillId="0" borderId="2" xfId="0" applyNumberFormat="1" applyFont="1" applyBorder="1"/>
    <xf numFmtId="14" fontId="2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1" xfId="0" applyFont="1" applyBorder="1"/>
    <xf numFmtId="4" fontId="2" fillId="0" borderId="2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1" applyFont="1" applyAlignment="1" applyProtection="1">
      <alignment horizontal="center"/>
      <protection locked="0"/>
    </xf>
    <xf numFmtId="2" fontId="4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17" borderId="21" xfId="0" applyFont="1" applyFill="1" applyBorder="1" applyProtection="1">
      <protection locked="0"/>
    </xf>
    <xf numFmtId="164" fontId="1" fillId="17" borderId="21" xfId="0" applyNumberFormat="1" applyFont="1" applyFill="1" applyBorder="1" applyAlignment="1" applyProtection="1">
      <alignment horizontal="right"/>
      <protection locked="0"/>
    </xf>
    <xf numFmtId="14" fontId="1" fillId="17" borderId="21" xfId="0" applyNumberFormat="1" applyFont="1" applyFill="1" applyBorder="1" applyAlignment="1" applyProtection="1">
      <alignment horizontal="left"/>
      <protection locked="0"/>
    </xf>
    <xf numFmtId="9" fontId="1" fillId="17" borderId="21" xfId="0" applyNumberFormat="1" applyFont="1" applyFill="1" applyBorder="1" applyAlignment="1" applyProtection="1">
      <alignment horizontal="left"/>
      <protection locked="0"/>
    </xf>
    <xf numFmtId="164" fontId="2" fillId="18" borderId="10" xfId="0" applyNumberFormat="1" applyFont="1" applyFill="1" applyBorder="1" applyAlignment="1">
      <alignment horizontal="right"/>
    </xf>
    <xf numFmtId="164" fontId="2" fillId="18" borderId="10" xfId="0" applyNumberFormat="1" applyFont="1" applyFill="1" applyBorder="1"/>
    <xf numFmtId="0" fontId="1" fillId="17" borderId="7" xfId="0" applyFont="1" applyFill="1" applyBorder="1" applyAlignment="1">
      <alignment horizontal="center"/>
    </xf>
    <xf numFmtId="164" fontId="1" fillId="17" borderId="8" xfId="0" applyNumberFormat="1" applyFont="1" applyFill="1" applyBorder="1" applyAlignment="1" applyProtection="1">
      <alignment horizontal="right"/>
      <protection locked="0"/>
    </xf>
    <xf numFmtId="0" fontId="1" fillId="19" borderId="0" xfId="0" applyFont="1" applyFill="1"/>
    <xf numFmtId="164" fontId="1" fillId="19" borderId="0" xfId="0" applyNumberFormat="1" applyFont="1" applyFill="1" applyAlignment="1">
      <alignment horizontal="right"/>
    </xf>
    <xf numFmtId="0" fontId="26" fillId="19" borderId="0" xfId="0" applyFont="1" applyFill="1" applyAlignment="1">
      <alignment horizontal="right"/>
    </xf>
    <xf numFmtId="0" fontId="1" fillId="19" borderId="0" xfId="0" applyFont="1" applyFill="1" applyAlignment="1" applyProtection="1">
      <alignment horizontal="right"/>
      <protection locked="0"/>
    </xf>
    <xf numFmtId="0" fontId="1" fillId="19" borderId="19" xfId="0" applyFont="1" applyFill="1" applyBorder="1"/>
    <xf numFmtId="0" fontId="2" fillId="19" borderId="8" xfId="0" applyFont="1" applyFill="1" applyBorder="1" applyAlignment="1">
      <alignment horizontal="right"/>
    </xf>
    <xf numFmtId="0" fontId="2" fillId="19" borderId="4" xfId="0" applyFont="1" applyFill="1" applyBorder="1"/>
    <xf numFmtId="164" fontId="1" fillId="17" borderId="21" xfId="0" quotePrefix="1" applyNumberFormat="1" applyFont="1" applyFill="1" applyBorder="1" applyAlignment="1" applyProtection="1">
      <alignment horizontal="right"/>
      <protection locked="0"/>
    </xf>
    <xf numFmtId="0" fontId="1" fillId="19" borderId="18" xfId="0" applyFont="1" applyFill="1" applyBorder="1"/>
    <xf numFmtId="0" fontId="1" fillId="19" borderId="20" xfId="0" applyFont="1" applyFill="1" applyBorder="1"/>
    <xf numFmtId="0" fontId="26" fillId="19" borderId="18" xfId="0" applyFont="1" applyFill="1" applyBorder="1" applyAlignment="1">
      <alignment horizontal="left"/>
    </xf>
    <xf numFmtId="0" fontId="1" fillId="19" borderId="19" xfId="0" applyFont="1" applyFill="1" applyBorder="1" applyAlignment="1">
      <alignment horizontal="right"/>
    </xf>
    <xf numFmtId="164" fontId="1" fillId="19" borderId="20" xfId="0" applyNumberFormat="1" applyFont="1" applyFill="1" applyBorder="1" applyAlignment="1">
      <alignment horizontal="right"/>
    </xf>
    <xf numFmtId="0" fontId="1" fillId="19" borderId="1" xfId="0" applyFont="1" applyFill="1" applyBorder="1"/>
    <xf numFmtId="0" fontId="1" fillId="19" borderId="2" xfId="0" applyFont="1" applyFill="1" applyBorder="1"/>
    <xf numFmtId="0" fontId="1" fillId="0" borderId="18" xfId="0" applyFont="1" applyBorder="1"/>
    <xf numFmtId="14" fontId="1" fillId="0" borderId="0" xfId="0" applyNumberFormat="1" applyFont="1" applyAlignment="1">
      <alignment horizontal="right"/>
    </xf>
    <xf numFmtId="0" fontId="1" fillId="19" borderId="18" xfId="0" applyFont="1" applyFill="1" applyBorder="1" applyAlignment="1">
      <alignment horizontal="left"/>
    </xf>
    <xf numFmtId="0" fontId="2" fillId="19" borderId="7" xfId="0" applyFont="1" applyFill="1" applyBorder="1"/>
    <xf numFmtId="164" fontId="1" fillId="19" borderId="8" xfId="0" applyNumberFormat="1" applyFont="1" applyFill="1" applyBorder="1" applyAlignment="1">
      <alignment horizontal="right"/>
    </xf>
    <xf numFmtId="2" fontId="2" fillId="0" borderId="10" xfId="0" applyNumberFormat="1" applyFont="1" applyBorder="1" applyAlignment="1">
      <alignment horizontal="right"/>
    </xf>
    <xf numFmtId="44" fontId="2" fillId="0" borderId="0" xfId="0" applyNumberFormat="1" applyFont="1" applyProtection="1">
      <protection locked="0"/>
    </xf>
    <xf numFmtId="9" fontId="2" fillId="0" borderId="0" xfId="0" applyNumberFormat="1" applyFont="1" applyAlignment="1">
      <alignment horizontal="center"/>
    </xf>
    <xf numFmtId="44" fontId="2" fillId="0" borderId="0" xfId="0" applyNumberFormat="1" applyFont="1"/>
    <xf numFmtId="37" fontId="10" fillId="0" borderId="0" xfId="3" applyNumberFormat="1" applyFont="1" applyBorder="1" applyAlignment="1" applyProtection="1">
      <alignment horizontal="center"/>
      <protection locked="0"/>
    </xf>
    <xf numFmtId="0" fontId="21" fillId="14" borderId="2" xfId="1" applyFont="1" applyFill="1" applyBorder="1" applyAlignment="1" applyProtection="1">
      <alignment horizontal="center"/>
      <protection locked="0"/>
    </xf>
    <xf numFmtId="10" fontId="10" fillId="0" borderId="2" xfId="1" applyNumberFormat="1" applyFont="1" applyBorder="1"/>
    <xf numFmtId="0" fontId="10" fillId="14" borderId="1" xfId="1" applyFont="1" applyFill="1" applyBorder="1" applyAlignment="1" applyProtection="1">
      <alignment horizontal="center"/>
      <protection locked="0"/>
    </xf>
    <xf numFmtId="0" fontId="11" fillId="14" borderId="1" xfId="1" applyFont="1" applyFill="1" applyBorder="1" applyAlignment="1" applyProtection="1">
      <alignment horizontal="center"/>
      <protection locked="0"/>
    </xf>
    <xf numFmtId="0" fontId="11" fillId="14" borderId="0" xfId="1" applyFont="1" applyFill="1" applyAlignment="1" applyProtection="1">
      <alignment horizontal="center"/>
      <protection locked="0"/>
    </xf>
    <xf numFmtId="7" fontId="10" fillId="0" borderId="0" xfId="3" applyNumberFormat="1" applyFont="1" applyBorder="1" applyAlignment="1" applyProtection="1">
      <alignment horizontal="center" vertical="center"/>
    </xf>
    <xf numFmtId="7" fontId="10" fillId="0" borderId="0" xfId="3" applyNumberFormat="1" applyFont="1" applyFill="1" applyBorder="1" applyAlignment="1" applyProtection="1">
      <alignment horizontal="center" vertical="center"/>
    </xf>
    <xf numFmtId="164" fontId="10" fillId="0" borderId="0" xfId="1" applyNumberFormat="1" applyFont="1" applyAlignment="1" applyProtection="1">
      <alignment horizontal="center"/>
      <protection locked="0"/>
    </xf>
    <xf numFmtId="164" fontId="10" fillId="0" borderId="0" xfId="1" applyNumberFormat="1" applyFont="1" applyAlignment="1">
      <alignment horizontal="center"/>
    </xf>
    <xf numFmtId="7" fontId="10" fillId="0" borderId="0" xfId="1" applyNumberFormat="1" applyFont="1" applyAlignment="1">
      <alignment horizontal="center"/>
    </xf>
    <xf numFmtId="165" fontId="10" fillId="0" borderId="2" xfId="1" applyNumberFormat="1" applyFont="1" applyBorder="1" applyProtection="1">
      <protection locked="0"/>
    </xf>
    <xf numFmtId="44" fontId="10" fillId="0" borderId="2" xfId="1" applyNumberFormat="1" applyFont="1" applyBorder="1" applyProtection="1">
      <protection locked="0"/>
    </xf>
    <xf numFmtId="7" fontId="10" fillId="0" borderId="2" xfId="3" applyNumberFormat="1" applyFont="1" applyFill="1" applyBorder="1" applyProtection="1"/>
    <xf numFmtId="164" fontId="10" fillId="14" borderId="0" xfId="1" applyNumberFormat="1" applyFont="1" applyFill="1" applyAlignment="1" applyProtection="1">
      <alignment horizontal="center" vertical="center"/>
      <protection locked="0"/>
    </xf>
    <xf numFmtId="168" fontId="8" fillId="8" borderId="13" xfId="1" applyNumberFormat="1" applyFont="1" applyFill="1" applyBorder="1"/>
    <xf numFmtId="168" fontId="8" fillId="8" borderId="13" xfId="1" applyNumberFormat="1" applyFont="1" applyFill="1" applyBorder="1" applyAlignment="1">
      <alignment horizontal="center"/>
    </xf>
    <xf numFmtId="168" fontId="7" fillId="0" borderId="15" xfId="1" applyNumberFormat="1" applyBorder="1" applyProtection="1">
      <protection locked="0"/>
    </xf>
    <xf numFmtId="168" fontId="8" fillId="0" borderId="15" xfId="1" applyNumberFormat="1" applyFont="1" applyBorder="1" applyProtection="1">
      <protection locked="0"/>
    </xf>
    <xf numFmtId="168" fontId="8" fillId="0" borderId="17" xfId="1" applyNumberFormat="1" applyFont="1" applyBorder="1" applyProtection="1">
      <protection locked="0"/>
    </xf>
    <xf numFmtId="168" fontId="9" fillId="0" borderId="17" xfId="1" applyNumberFormat="1" applyFont="1" applyBorder="1" applyProtection="1">
      <protection locked="0"/>
    </xf>
    <xf numFmtId="168" fontId="7" fillId="6" borderId="13" xfId="1" applyNumberFormat="1" applyFill="1" applyBorder="1" applyProtection="1">
      <protection locked="0"/>
    </xf>
    <xf numFmtId="168" fontId="8" fillId="5" borderId="13" xfId="1" applyNumberFormat="1" applyFont="1" applyFill="1" applyBorder="1" applyAlignment="1" applyProtection="1">
      <alignment horizontal="center"/>
      <protection locked="0"/>
    </xf>
    <xf numFmtId="168" fontId="7" fillId="5" borderId="15" xfId="1" applyNumberFormat="1" applyFill="1" applyBorder="1" applyProtection="1">
      <protection locked="0"/>
    </xf>
    <xf numFmtId="168" fontId="12" fillId="5" borderId="15" xfId="1" applyNumberFormat="1" applyFont="1" applyFill="1" applyBorder="1" applyProtection="1">
      <protection locked="0"/>
    </xf>
    <xf numFmtId="168" fontId="12" fillId="5" borderId="17" xfId="1" applyNumberFormat="1" applyFont="1" applyFill="1" applyBorder="1" applyProtection="1">
      <protection locked="0"/>
    </xf>
    <xf numFmtId="168" fontId="9" fillId="5" borderId="17" xfId="1" applyNumberFormat="1" applyFont="1" applyFill="1" applyBorder="1" applyProtection="1">
      <protection locked="0"/>
    </xf>
    <xf numFmtId="168" fontId="9" fillId="0" borderId="15" xfId="1" applyNumberFormat="1" applyFont="1" applyBorder="1" applyProtection="1">
      <protection locked="0"/>
    </xf>
    <xf numFmtId="168" fontId="12" fillId="0" borderId="15" xfId="1" applyNumberFormat="1" applyFont="1" applyBorder="1" applyProtection="1">
      <protection locked="0"/>
    </xf>
    <xf numFmtId="168" fontId="12" fillId="0" borderId="17" xfId="1" applyNumberFormat="1" applyFont="1" applyBorder="1" applyProtection="1">
      <protection locked="0"/>
    </xf>
    <xf numFmtId="168" fontId="7" fillId="5" borderId="13" xfId="1" applyNumberFormat="1" applyFill="1" applyBorder="1" applyProtection="1">
      <protection locked="0"/>
    </xf>
    <xf numFmtId="168" fontId="12" fillId="5" borderId="13" xfId="1" applyNumberFormat="1" applyFont="1" applyFill="1" applyBorder="1" applyProtection="1">
      <protection locked="0"/>
    </xf>
    <xf numFmtId="168" fontId="12" fillId="5" borderId="11" xfId="1" applyNumberFormat="1" applyFont="1" applyFill="1" applyBorder="1" applyProtection="1">
      <protection locked="0"/>
    </xf>
    <xf numFmtId="168" fontId="9" fillId="5" borderId="11" xfId="1" applyNumberFormat="1" applyFont="1" applyFill="1" applyBorder="1" applyProtection="1">
      <protection locked="0"/>
    </xf>
    <xf numFmtId="168" fontId="13" fillId="0" borderId="17" xfId="1" applyNumberFormat="1" applyFont="1" applyBorder="1" applyProtection="1">
      <protection locked="0"/>
    </xf>
    <xf numFmtId="168" fontId="12" fillId="0" borderId="13" xfId="1" applyNumberFormat="1" applyFont="1" applyBorder="1" applyProtection="1">
      <protection locked="0"/>
    </xf>
    <xf numFmtId="168" fontId="7" fillId="0" borderId="13" xfId="1" applyNumberFormat="1" applyBorder="1" applyProtection="1">
      <protection locked="0"/>
    </xf>
    <xf numFmtId="168" fontId="9" fillId="0" borderId="14" xfId="1" applyNumberFormat="1" applyFont="1" applyBorder="1" applyProtection="1">
      <protection locked="0"/>
    </xf>
    <xf numFmtId="168" fontId="7" fillId="0" borderId="14" xfId="1" applyNumberFormat="1" applyBorder="1" applyProtection="1">
      <protection locked="0"/>
    </xf>
    <xf numFmtId="168" fontId="9" fillId="5" borderId="15" xfId="1" applyNumberFormat="1" applyFont="1" applyFill="1" applyBorder="1" applyProtection="1">
      <protection locked="0"/>
    </xf>
    <xf numFmtId="168" fontId="9" fillId="5" borderId="13" xfId="1" applyNumberFormat="1" applyFont="1" applyFill="1" applyBorder="1" applyProtection="1">
      <protection locked="0"/>
    </xf>
    <xf numFmtId="168" fontId="9" fillId="6" borderId="13" xfId="1" applyNumberFormat="1" applyFont="1" applyFill="1" applyBorder="1" applyProtection="1">
      <protection locked="0"/>
    </xf>
    <xf numFmtId="168" fontId="9" fillId="0" borderId="13" xfId="1" applyNumberFormat="1" applyFont="1" applyBorder="1" applyProtection="1">
      <protection locked="0"/>
    </xf>
    <xf numFmtId="168" fontId="7" fillId="7" borderId="13" xfId="1" applyNumberFormat="1" applyFill="1" applyBorder="1" applyProtection="1">
      <protection locked="0"/>
    </xf>
    <xf numFmtId="168" fontId="9" fillId="7" borderId="13" xfId="1" applyNumberFormat="1" applyFont="1" applyFill="1" applyBorder="1" applyProtection="1">
      <protection locked="0"/>
    </xf>
    <xf numFmtId="168" fontId="21" fillId="14" borderId="2" xfId="1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horizontal="right"/>
    </xf>
    <xf numFmtId="14" fontId="2" fillId="0" borderId="10" xfId="0" applyNumberFormat="1" applyFont="1" applyBorder="1" applyAlignment="1">
      <alignment horizontal="right"/>
    </xf>
    <xf numFmtId="0" fontId="30" fillId="0" borderId="0" xfId="1" applyFont="1"/>
    <xf numFmtId="0" fontId="30" fillId="0" borderId="10" xfId="1" applyFont="1" applyBorder="1" applyProtection="1">
      <protection locked="0"/>
    </xf>
    <xf numFmtId="0" fontId="30" fillId="0" borderId="0" xfId="1" applyFont="1" applyAlignment="1">
      <alignment horizontal="center"/>
    </xf>
    <xf numFmtId="14" fontId="30" fillId="0" borderId="10" xfId="1" applyNumberFormat="1" applyFont="1" applyBorder="1" applyProtection="1">
      <protection locked="0"/>
    </xf>
    <xf numFmtId="14" fontId="30" fillId="0" borderId="0" xfId="1" applyNumberFormat="1" applyFont="1" applyProtection="1">
      <protection locked="0"/>
    </xf>
    <xf numFmtId="0" fontId="30" fillId="0" borderId="0" xfId="1" applyFont="1" applyProtection="1">
      <protection locked="0"/>
    </xf>
    <xf numFmtId="0" fontId="31" fillId="0" borderId="0" xfId="1" applyFont="1"/>
    <xf numFmtId="0" fontId="32" fillId="0" borderId="0" xfId="1" applyFont="1"/>
    <xf numFmtId="44" fontId="32" fillId="0" borderId="0" xfId="3" applyFont="1" applyProtection="1">
      <protection locked="0"/>
    </xf>
    <xf numFmtId="44" fontId="32" fillId="0" borderId="0" xfId="3" applyFont="1"/>
    <xf numFmtId="169" fontId="32" fillId="6" borderId="0" xfId="1" applyNumberFormat="1" applyFont="1" applyFill="1" applyProtection="1">
      <protection locked="0"/>
    </xf>
    <xf numFmtId="44" fontId="33" fillId="6" borderId="0" xfId="3" applyFont="1" applyFill="1"/>
    <xf numFmtId="0" fontId="33" fillId="5" borderId="27" xfId="1" applyFont="1" applyFill="1" applyBorder="1" applyAlignment="1" applyProtection="1">
      <alignment horizontal="center"/>
      <protection locked="0"/>
    </xf>
    <xf numFmtId="0" fontId="32" fillId="5" borderId="26" xfId="1" applyFont="1" applyFill="1" applyBorder="1" applyProtection="1">
      <protection locked="0"/>
    </xf>
    <xf numFmtId="0" fontId="33" fillId="5" borderId="26" xfId="1" applyFont="1" applyFill="1" applyBorder="1" applyAlignment="1" applyProtection="1">
      <alignment horizontal="center"/>
      <protection locked="0"/>
    </xf>
    <xf numFmtId="170" fontId="32" fillId="5" borderId="17" xfId="3" applyNumberFormat="1" applyFont="1" applyFill="1" applyBorder="1" applyAlignment="1" applyProtection="1">
      <alignment horizontal="center"/>
      <protection locked="0"/>
    </xf>
    <xf numFmtId="0" fontId="32" fillId="5" borderId="16" xfId="1" applyFont="1" applyFill="1" applyBorder="1" applyProtection="1">
      <protection locked="0"/>
    </xf>
    <xf numFmtId="0" fontId="32" fillId="5" borderId="0" xfId="1" applyFont="1" applyFill="1" applyProtection="1">
      <protection locked="0"/>
    </xf>
    <xf numFmtId="44" fontId="32" fillId="5" borderId="29" xfId="3" applyFont="1" applyFill="1" applyBorder="1" applyProtection="1"/>
    <xf numFmtId="0" fontId="32" fillId="5" borderId="9" xfId="1" applyFont="1" applyFill="1" applyBorder="1" applyProtection="1">
      <protection locked="0"/>
    </xf>
    <xf numFmtId="0" fontId="32" fillId="5" borderId="10" xfId="1" applyFont="1" applyFill="1" applyBorder="1" applyProtection="1">
      <protection locked="0"/>
    </xf>
    <xf numFmtId="0" fontId="34" fillId="5" borderId="10" xfId="1" applyFont="1" applyFill="1" applyBorder="1" applyAlignment="1" applyProtection="1">
      <alignment horizontal="left"/>
      <protection locked="0"/>
    </xf>
    <xf numFmtId="44" fontId="33" fillId="5" borderId="11" xfId="3" applyFont="1" applyFill="1" applyBorder="1" applyProtection="1">
      <protection locked="0"/>
    </xf>
    <xf numFmtId="0" fontId="32" fillId="0" borderId="0" xfId="1" applyFont="1" applyProtection="1">
      <protection locked="0"/>
    </xf>
    <xf numFmtId="44" fontId="33" fillId="5" borderId="11" xfId="3" applyFont="1" applyFill="1" applyBorder="1" applyProtection="1"/>
    <xf numFmtId="0" fontId="30" fillId="0" borderId="0" xfId="1" applyFont="1" applyAlignment="1" applyProtection="1">
      <alignment horizontal="center"/>
      <protection locked="0"/>
    </xf>
    <xf numFmtId="44" fontId="30" fillId="0" borderId="0" xfId="3" applyFont="1" applyProtection="1">
      <protection locked="0"/>
    </xf>
    <xf numFmtId="0" fontId="32" fillId="5" borderId="28" xfId="1" applyFont="1" applyFill="1" applyBorder="1" applyAlignment="1" applyProtection="1">
      <alignment horizontal="center"/>
      <protection locked="0"/>
    </xf>
    <xf numFmtId="171" fontId="0" fillId="0" borderId="0" xfId="0" applyNumberFormat="1"/>
    <xf numFmtId="172" fontId="0" fillId="0" borderId="0" xfId="0" applyNumberFormat="1"/>
    <xf numFmtId="2" fontId="0" fillId="0" borderId="0" xfId="0" applyNumberFormat="1"/>
    <xf numFmtId="1" fontId="0" fillId="0" borderId="0" xfId="0" applyNumberFormat="1"/>
    <xf numFmtId="0" fontId="35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left" vertical="center" indent="5"/>
    </xf>
    <xf numFmtId="0" fontId="38" fillId="0" borderId="0" xfId="0" applyFont="1" applyAlignment="1">
      <alignment horizontal="left" vertical="center" indent="5"/>
    </xf>
    <xf numFmtId="17" fontId="39" fillId="0" borderId="0" xfId="0" applyNumberFormat="1" applyFont="1" applyAlignment="1">
      <alignment vertical="center"/>
    </xf>
    <xf numFmtId="0" fontId="40" fillId="0" borderId="0" xfId="0" applyFont="1"/>
    <xf numFmtId="0" fontId="40" fillId="0" borderId="0" xfId="0" applyFont="1" applyAlignment="1">
      <alignment horizontal="left"/>
    </xf>
    <xf numFmtId="173" fontId="40" fillId="0" borderId="0" xfId="0" applyNumberFormat="1" applyFont="1" applyAlignment="1">
      <alignment horizontal="left"/>
    </xf>
    <xf numFmtId="14" fontId="40" fillId="0" borderId="0" xfId="0" applyNumberFormat="1" applyFont="1"/>
    <xf numFmtId="14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20" borderId="6" xfId="0" applyFont="1" applyFill="1" applyBorder="1" applyAlignment="1">
      <alignment horizontal="center"/>
    </xf>
    <xf numFmtId="0" fontId="1" fillId="20" borderId="7" xfId="0" applyFont="1" applyFill="1" applyBorder="1" applyAlignment="1">
      <alignment horizontal="center"/>
    </xf>
    <xf numFmtId="0" fontId="1" fillId="20" borderId="8" xfId="0" applyFont="1" applyFill="1" applyBorder="1" applyAlignment="1">
      <alignment horizontal="center"/>
    </xf>
    <xf numFmtId="0" fontId="1" fillId="0" borderId="0" xfId="0" applyFont="1"/>
    <xf numFmtId="164" fontId="1" fillId="20" borderId="6" xfId="0" applyNumberFormat="1" applyFont="1" applyFill="1" applyBorder="1" applyAlignment="1">
      <alignment horizontal="center"/>
    </xf>
    <xf numFmtId="164" fontId="1" fillId="20" borderId="7" xfId="0" applyNumberFormat="1" applyFont="1" applyFill="1" applyBorder="1" applyAlignment="1">
      <alignment horizontal="center"/>
    </xf>
    <xf numFmtId="164" fontId="1" fillId="20" borderId="8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3" borderId="0" xfId="0" applyFont="1" applyFill="1" applyAlignment="1">
      <alignment horizontal="left"/>
    </xf>
    <xf numFmtId="0" fontId="4" fillId="20" borderId="7" xfId="0" applyFont="1" applyFill="1" applyBorder="1" applyAlignment="1">
      <alignment horizontal="center"/>
    </xf>
    <xf numFmtId="0" fontId="4" fillId="20" borderId="8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3" borderId="0" xfId="0" applyFont="1" applyFill="1"/>
    <xf numFmtId="0" fontId="4" fillId="0" borderId="4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14" fontId="2" fillId="0" borderId="10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0" fillId="0" borderId="0" xfId="0" applyAlignment="1">
      <alignment horizontal="center"/>
    </xf>
    <xf numFmtId="0" fontId="17" fillId="0" borderId="18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8" fillId="9" borderId="19" xfId="0" applyFont="1" applyFill="1" applyBorder="1" applyAlignment="1">
      <alignment horizontal="center" wrapText="1"/>
    </xf>
    <xf numFmtId="0" fontId="18" fillId="9" borderId="0" xfId="0" applyFont="1" applyFill="1" applyAlignment="1">
      <alignment horizontal="center" wrapText="1"/>
    </xf>
    <xf numFmtId="0" fontId="17" fillId="0" borderId="19" xfId="0" applyFont="1" applyBorder="1" applyAlignment="1">
      <alignment horizontal="center" wrapText="1"/>
    </xf>
    <xf numFmtId="0" fontId="17" fillId="0" borderId="0" xfId="0" applyFont="1" applyAlignment="1">
      <alignment horizontal="center" wrapText="1"/>
    </xf>
    <xf numFmtId="0" fontId="18" fillId="9" borderId="20" xfId="0" applyFont="1" applyFill="1" applyBorder="1" applyAlignment="1">
      <alignment horizontal="center" wrapText="1"/>
    </xf>
    <xf numFmtId="0" fontId="18" fillId="9" borderId="2" xfId="0" applyFont="1" applyFill="1" applyBorder="1" applyAlignment="1">
      <alignment horizontal="center" wrapText="1"/>
    </xf>
    <xf numFmtId="0" fontId="29" fillId="0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1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27" fillId="19" borderId="3" xfId="0" applyFont="1" applyFill="1" applyBorder="1" applyAlignment="1">
      <alignment horizontal="right"/>
    </xf>
    <xf numFmtId="0" fontId="27" fillId="19" borderId="4" xfId="0" applyFont="1" applyFill="1" applyBorder="1" applyAlignment="1">
      <alignment horizontal="right"/>
    </xf>
    <xf numFmtId="43" fontId="24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left"/>
    </xf>
    <xf numFmtId="0" fontId="1" fillId="17" borderId="6" xfId="0" applyFont="1" applyFill="1" applyBorder="1" applyAlignment="1">
      <alignment horizontal="right"/>
    </xf>
    <xf numFmtId="0" fontId="1" fillId="17" borderId="7" xfId="0" applyFont="1" applyFill="1" applyBorder="1" applyAlignment="1">
      <alignment horizontal="right"/>
    </xf>
    <xf numFmtId="0" fontId="1" fillId="19" borderId="0" xfId="0" applyFont="1" applyFill="1" applyAlignment="1">
      <alignment horizontal="right"/>
    </xf>
    <xf numFmtId="0" fontId="26" fillId="19" borderId="0" xfId="0" applyFont="1" applyFill="1" applyAlignment="1">
      <alignment horizontal="right"/>
    </xf>
    <xf numFmtId="0" fontId="27" fillId="19" borderId="18" xfId="0" applyFont="1" applyFill="1" applyBorder="1" applyAlignment="1">
      <alignment horizontal="right"/>
    </xf>
    <xf numFmtId="0" fontId="27" fillId="19" borderId="19" xfId="0" applyFont="1" applyFill="1" applyBorder="1" applyAlignment="1">
      <alignment horizontal="right"/>
    </xf>
    <xf numFmtId="0" fontId="26" fillId="19" borderId="1" xfId="0" applyFont="1" applyFill="1" applyBorder="1" applyAlignment="1">
      <alignment horizontal="left"/>
    </xf>
    <xf numFmtId="0" fontId="26" fillId="19" borderId="0" xfId="0" applyFont="1" applyFill="1" applyAlignment="1">
      <alignment horizontal="left"/>
    </xf>
    <xf numFmtId="0" fontId="26" fillId="19" borderId="2" xfId="0" applyFont="1" applyFill="1" applyBorder="1" applyAlignment="1">
      <alignment horizontal="left"/>
    </xf>
    <xf numFmtId="0" fontId="26" fillId="19" borderId="3" xfId="0" applyFont="1" applyFill="1" applyBorder="1" applyAlignment="1">
      <alignment horizontal="left"/>
    </xf>
    <xf numFmtId="0" fontId="26" fillId="19" borderId="4" xfId="0" applyFont="1" applyFill="1" applyBorder="1" applyAlignment="1">
      <alignment horizontal="left"/>
    </xf>
    <xf numFmtId="0" fontId="26" fillId="19" borderId="5" xfId="0" applyFont="1" applyFill="1" applyBorder="1" applyAlignment="1">
      <alignment horizontal="left"/>
    </xf>
    <xf numFmtId="0" fontId="1" fillId="19" borderId="3" xfId="0" applyFont="1" applyFill="1" applyBorder="1"/>
    <xf numFmtId="0" fontId="1" fillId="19" borderId="4" xfId="0" applyFont="1" applyFill="1" applyBorder="1"/>
    <xf numFmtId="0" fontId="1" fillId="19" borderId="5" xfId="0" applyFont="1" applyFill="1" applyBorder="1"/>
    <xf numFmtId="0" fontId="1" fillId="0" borderId="19" xfId="0" applyFont="1" applyBorder="1"/>
    <xf numFmtId="0" fontId="27" fillId="19" borderId="3" xfId="0" applyFont="1" applyFill="1" applyBorder="1" applyAlignment="1">
      <alignment horizontal="left"/>
    </xf>
    <xf numFmtId="0" fontId="27" fillId="19" borderId="5" xfId="0" applyFont="1" applyFill="1" applyBorder="1" applyAlignment="1">
      <alignment horizontal="left"/>
    </xf>
    <xf numFmtId="9" fontId="10" fillId="0" borderId="1" xfId="1" applyNumberFormat="1" applyFont="1" applyBorder="1" applyAlignment="1">
      <alignment horizontal="right"/>
    </xf>
    <xf numFmtId="9" fontId="10" fillId="0" borderId="0" xfId="1" applyNumberFormat="1" applyFont="1" applyAlignment="1">
      <alignment horizontal="right"/>
    </xf>
    <xf numFmtId="0" fontId="11" fillId="0" borderId="6" xfId="3" applyNumberFormat="1" applyFont="1" applyFill="1" applyBorder="1" applyAlignment="1" applyProtection="1">
      <alignment horizontal="center"/>
    </xf>
    <xf numFmtId="0" fontId="11" fillId="0" borderId="7" xfId="3" applyNumberFormat="1" applyFont="1" applyFill="1" applyBorder="1" applyAlignment="1" applyProtection="1">
      <alignment horizontal="center"/>
    </xf>
    <xf numFmtId="0" fontId="20" fillId="0" borderId="3" xfId="1" applyFont="1" applyBorder="1" applyAlignment="1" applyProtection="1">
      <alignment horizontal="right"/>
      <protection locked="0"/>
    </xf>
    <xf numFmtId="0" fontId="20" fillId="0" borderId="4" xfId="1" applyFont="1" applyBorder="1" applyAlignment="1" applyProtection="1">
      <alignment horizontal="right"/>
      <protection locked="0"/>
    </xf>
    <xf numFmtId="0" fontId="19" fillId="0" borderId="1" xfId="1" applyFont="1" applyBorder="1" applyAlignment="1" applyProtection="1">
      <alignment horizontal="center"/>
      <protection locked="0"/>
    </xf>
    <xf numFmtId="0" fontId="19" fillId="0" borderId="0" xfId="1" applyFont="1" applyAlignment="1" applyProtection="1">
      <alignment horizontal="center"/>
      <protection locked="0"/>
    </xf>
    <xf numFmtId="0" fontId="19" fillId="0" borderId="2" xfId="1" applyFont="1" applyBorder="1" applyAlignment="1" applyProtection="1">
      <alignment horizontal="center"/>
      <protection locked="0"/>
    </xf>
    <xf numFmtId="0" fontId="10" fillId="0" borderId="1" xfId="1" applyFont="1" applyBorder="1" applyAlignment="1" applyProtection="1">
      <alignment horizontal="center"/>
      <protection locked="0"/>
    </xf>
    <xf numFmtId="0" fontId="10" fillId="0" borderId="0" xfId="1" applyFont="1" applyAlignment="1" applyProtection="1">
      <alignment horizontal="center"/>
      <protection locked="0"/>
    </xf>
    <xf numFmtId="0" fontId="10" fillId="0" borderId="3" xfId="1" applyFont="1" applyBorder="1" applyAlignment="1" applyProtection="1">
      <alignment horizontal="right"/>
      <protection locked="0"/>
    </xf>
    <xf numFmtId="0" fontId="10" fillId="0" borderId="4" xfId="1" applyFont="1" applyBorder="1" applyAlignment="1" applyProtection="1">
      <alignment horizontal="right"/>
      <protection locked="0"/>
    </xf>
    <xf numFmtId="0" fontId="21" fillId="0" borderId="18" xfId="1" applyFont="1" applyBorder="1" applyAlignment="1" applyProtection="1">
      <alignment horizontal="center"/>
      <protection locked="0"/>
    </xf>
    <xf numFmtId="0" fontId="21" fillId="0" borderId="19" xfId="1" applyFont="1" applyBorder="1" applyAlignment="1" applyProtection="1">
      <alignment horizontal="center"/>
      <protection locked="0"/>
    </xf>
    <xf numFmtId="0" fontId="21" fillId="0" borderId="20" xfId="1" applyFont="1" applyBorder="1" applyAlignment="1" applyProtection="1">
      <alignment horizontal="center"/>
      <protection locked="0"/>
    </xf>
    <xf numFmtId="0" fontId="20" fillId="14" borderId="0" xfId="1" applyFont="1" applyFill="1" applyAlignment="1" applyProtection="1">
      <alignment horizontal="center"/>
      <protection locked="0"/>
    </xf>
    <xf numFmtId="0" fontId="11" fillId="0" borderId="10" xfId="1" applyFont="1" applyBorder="1" applyAlignment="1" applyProtection="1">
      <alignment horizontal="center"/>
      <protection locked="0"/>
    </xf>
    <xf numFmtId="0" fontId="11" fillId="0" borderId="6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9" fillId="0" borderId="0" xfId="1" applyFont="1" applyAlignment="1" applyProtection="1">
      <alignment horizontal="right"/>
      <protection locked="0"/>
    </xf>
    <xf numFmtId="0" fontId="21" fillId="0" borderId="18" xfId="1" applyFont="1" applyBorder="1" applyAlignment="1">
      <alignment horizontal="center"/>
    </xf>
    <xf numFmtId="0" fontId="21" fillId="0" borderId="19" xfId="1" applyFont="1" applyBorder="1" applyAlignment="1">
      <alignment horizontal="center"/>
    </xf>
    <xf numFmtId="0" fontId="21" fillId="0" borderId="20" xfId="1" applyFont="1" applyBorder="1" applyAlignment="1">
      <alignment horizontal="center"/>
    </xf>
    <xf numFmtId="0" fontId="10" fillId="15" borderId="1" xfId="1" applyFont="1" applyFill="1" applyBorder="1" applyAlignment="1" applyProtection="1">
      <alignment horizontal="left"/>
      <protection locked="0"/>
    </xf>
    <xf numFmtId="0" fontId="10" fillId="15" borderId="0" xfId="1" applyFont="1" applyFill="1" applyAlignment="1" applyProtection="1">
      <alignment horizontal="left"/>
      <protection locked="0"/>
    </xf>
    <xf numFmtId="0" fontId="23" fillId="15" borderId="1" xfId="1" applyFont="1" applyFill="1" applyBorder="1" applyAlignment="1" applyProtection="1">
      <alignment horizontal="center"/>
      <protection locked="0"/>
    </xf>
    <xf numFmtId="0" fontId="23" fillId="15" borderId="0" xfId="1" applyFont="1" applyFill="1" applyAlignment="1" applyProtection="1">
      <alignment horizontal="center"/>
      <protection locked="0"/>
    </xf>
    <xf numFmtId="0" fontId="10" fillId="14" borderId="26" xfId="1" applyFont="1" applyFill="1" applyBorder="1" applyAlignment="1" applyProtection="1">
      <alignment horizontal="left"/>
      <protection locked="0"/>
    </xf>
    <xf numFmtId="0" fontId="10" fillId="14" borderId="0" xfId="1" applyFont="1" applyFill="1" applyAlignment="1" applyProtection="1">
      <alignment horizontal="left"/>
      <protection locked="0"/>
    </xf>
    <xf numFmtId="0" fontId="20" fillId="0" borderId="1" xfId="1" applyFont="1" applyBorder="1" applyAlignment="1" applyProtection="1">
      <alignment horizontal="center"/>
      <protection locked="0"/>
    </xf>
    <xf numFmtId="0" fontId="20" fillId="0" borderId="0" xfId="1" applyFont="1" applyAlignment="1" applyProtection="1">
      <alignment horizontal="center"/>
      <protection locked="0"/>
    </xf>
    <xf numFmtId="0" fontId="20" fillId="0" borderId="2" xfId="1" applyFont="1" applyBorder="1" applyAlignment="1" applyProtection="1">
      <alignment horizontal="center"/>
      <protection locked="0"/>
    </xf>
    <xf numFmtId="10" fontId="20" fillId="14" borderId="0" xfId="1" applyNumberFormat="1" applyFont="1" applyFill="1" applyAlignment="1" applyProtection="1">
      <alignment horizontal="center"/>
      <protection locked="0"/>
    </xf>
    <xf numFmtId="44" fontId="20" fillId="15" borderId="0" xfId="3" applyFont="1" applyFill="1" applyBorder="1" applyAlignment="1" applyProtection="1">
      <alignment horizontal="center"/>
    </xf>
    <xf numFmtId="0" fontId="20" fillId="15" borderId="0" xfId="1" applyFont="1" applyFill="1" applyAlignment="1" applyProtection="1">
      <alignment horizontal="center"/>
      <protection locked="0"/>
    </xf>
    <xf numFmtId="0" fontId="10" fillId="16" borderId="1" xfId="1" applyFont="1" applyFill="1" applyBorder="1" applyAlignment="1" applyProtection="1">
      <alignment horizontal="left"/>
      <protection locked="0"/>
    </xf>
    <xf numFmtId="0" fontId="10" fillId="16" borderId="0" xfId="1" applyFont="1" applyFill="1" applyAlignment="1" applyProtection="1">
      <alignment horizontal="left"/>
      <protection locked="0"/>
    </xf>
    <xf numFmtId="0" fontId="20" fillId="0" borderId="3" xfId="1" applyFont="1" applyBorder="1" applyProtection="1">
      <protection locked="0"/>
    </xf>
    <xf numFmtId="0" fontId="20" fillId="0" borderId="4" xfId="1" applyFont="1" applyBorder="1" applyProtection="1">
      <protection locked="0"/>
    </xf>
    <xf numFmtId="0" fontId="19" fillId="0" borderId="4" xfId="1" applyFont="1" applyBorder="1" applyAlignment="1" applyProtection="1">
      <alignment horizontal="right"/>
      <protection locked="0"/>
    </xf>
    <xf numFmtId="0" fontId="20" fillId="0" borderId="1" xfId="1" applyFont="1" applyBorder="1" applyAlignment="1" applyProtection="1">
      <alignment horizontal="left"/>
      <protection locked="0"/>
    </xf>
    <xf numFmtId="0" fontId="20" fillId="0" borderId="0" xfId="1" applyFont="1" applyAlignment="1" applyProtection="1">
      <alignment horizontal="left"/>
      <protection locked="0"/>
    </xf>
    <xf numFmtId="0" fontId="21" fillId="0" borderId="0" xfId="1" applyFont="1" applyAlignment="1" applyProtection="1">
      <alignment horizontal="center"/>
      <protection locked="0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5">
    <cellStyle name="Currency 2" xfId="3" xr:uid="{B8BAF199-CC15-49A9-97FE-1E01DF77C30B}"/>
    <cellStyle name="Normal" xfId="0" builtinId="0"/>
    <cellStyle name="Normal 2" xfId="1" xr:uid="{2C11C51E-6239-44BD-8848-FBBCA01B4A16}"/>
    <cellStyle name="Percent" xfId="2" builtinId="5"/>
    <cellStyle name="Percent 2" xfId="4" xr:uid="{E0C49700-E5C1-4930-AC57-BF71CF522DA9}"/>
  </cellStyles>
  <dxfs count="6">
    <dxf>
      <font>
        <b/>
        <i val="0"/>
      </font>
    </dxf>
    <dxf>
      <font>
        <b/>
        <i val="0"/>
      </font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E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lesofPurple\Downloads\Pension%20Calculator%20-%20Prototype%20V6.052%20(1).xlsx" TargetMode="External"/><Relationship Id="rId1" Type="http://schemas.openxmlformats.org/officeDocument/2006/relationships/externalLinkPath" Target="file:///C:\Users\MilesofPurple\Downloads\Pension%20Calculator%20-%20Prototype%20V6.05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nsion Calculator"/>
      <sheetName val="Delayed"/>
      <sheetName val="Pro-Rata Worksheet"/>
      <sheetName val="QDRO Pension Calculator"/>
      <sheetName val="QDRO Month Calc"/>
      <sheetName val="DCP Tax Calculator"/>
      <sheetName val="Pro-Rata"/>
      <sheetName val="Pro-Rata Lump Sum"/>
      <sheetName val="Tabs to the right do not work"/>
      <sheetName val="Overpayments &amp; Adjustments"/>
      <sheetName val="OldServiceEarlyDisability"/>
      <sheetName val="QDRO Pension Calculator 6.017"/>
      <sheetName val="Pro-Rata (2)"/>
      <sheetName val="Pro-Rata (3)"/>
    </sheetNames>
    <sheetDataSet>
      <sheetData sheetId="0"/>
      <sheetData sheetId="1"/>
      <sheetData sheetId="2">
        <row r="5">
          <cell r="J5">
            <v>48.460000000000015</v>
          </cell>
        </row>
      </sheetData>
      <sheetData sheetId="3"/>
      <sheetData sheetId="4">
        <row r="4">
          <cell r="B4">
            <v>0</v>
          </cell>
          <cell r="H4">
            <v>0</v>
          </cell>
        </row>
        <row r="5">
          <cell r="B5">
            <v>0</v>
          </cell>
          <cell r="H5">
            <v>0</v>
          </cell>
        </row>
        <row r="6">
          <cell r="B6">
            <v>0</v>
          </cell>
          <cell r="H6">
            <v>0</v>
          </cell>
        </row>
        <row r="7">
          <cell r="B7">
            <v>0</v>
          </cell>
          <cell r="H7">
            <v>0</v>
          </cell>
        </row>
        <row r="8">
          <cell r="B8">
            <v>0</v>
          </cell>
          <cell r="H8">
            <v>0</v>
          </cell>
        </row>
        <row r="9">
          <cell r="B9">
            <v>0</v>
          </cell>
          <cell r="H9">
            <v>0</v>
          </cell>
        </row>
        <row r="10">
          <cell r="B10">
            <v>0</v>
          </cell>
          <cell r="H10">
            <v>0</v>
          </cell>
        </row>
        <row r="11">
          <cell r="B11">
            <v>0</v>
          </cell>
          <cell r="H11">
            <v>0</v>
          </cell>
        </row>
        <row r="12">
          <cell r="B12">
            <v>0</v>
          </cell>
          <cell r="H12">
            <v>0</v>
          </cell>
        </row>
        <row r="13">
          <cell r="B13">
            <v>0</v>
          </cell>
          <cell r="H13">
            <v>0</v>
          </cell>
        </row>
        <row r="14">
          <cell r="B14">
            <v>0</v>
          </cell>
          <cell r="H14">
            <v>0</v>
          </cell>
        </row>
        <row r="15">
          <cell r="B15">
            <v>0</v>
          </cell>
          <cell r="H15">
            <v>0</v>
          </cell>
        </row>
        <row r="16">
          <cell r="B16">
            <v>0</v>
          </cell>
          <cell r="H16">
            <v>0</v>
          </cell>
        </row>
        <row r="17">
          <cell r="B17">
            <v>0</v>
          </cell>
          <cell r="H17">
            <v>0</v>
          </cell>
        </row>
        <row r="18">
          <cell r="B18">
            <v>0</v>
          </cell>
          <cell r="H18">
            <v>0</v>
          </cell>
        </row>
        <row r="19">
          <cell r="B19">
            <v>0</v>
          </cell>
          <cell r="H19">
            <v>0</v>
          </cell>
        </row>
        <row r="20">
          <cell r="B20">
            <v>0</v>
          </cell>
          <cell r="H20">
            <v>0</v>
          </cell>
        </row>
        <row r="21">
          <cell r="B21">
            <v>0</v>
          </cell>
          <cell r="H21">
            <v>0</v>
          </cell>
        </row>
        <row r="22">
          <cell r="B22">
            <v>0</v>
          </cell>
          <cell r="H22">
            <v>0</v>
          </cell>
        </row>
        <row r="23">
          <cell r="B23">
            <v>0</v>
          </cell>
          <cell r="H23">
            <v>0</v>
          </cell>
        </row>
        <row r="24">
          <cell r="B24">
            <v>0</v>
          </cell>
          <cell r="H24">
            <v>0</v>
          </cell>
        </row>
        <row r="25">
          <cell r="B25">
            <v>0</v>
          </cell>
          <cell r="H25">
            <v>0</v>
          </cell>
        </row>
        <row r="26">
          <cell r="B26">
            <v>0</v>
          </cell>
          <cell r="H26">
            <v>0</v>
          </cell>
        </row>
        <row r="27">
          <cell r="B27">
            <v>0</v>
          </cell>
          <cell r="H27">
            <v>0</v>
          </cell>
        </row>
        <row r="28">
          <cell r="B28">
            <v>0</v>
          </cell>
          <cell r="H28">
            <v>0</v>
          </cell>
        </row>
        <row r="29">
          <cell r="B29">
            <v>0</v>
          </cell>
          <cell r="H29">
            <v>0</v>
          </cell>
        </row>
        <row r="30">
          <cell r="B30">
            <v>0</v>
          </cell>
          <cell r="H30">
            <v>12</v>
          </cell>
        </row>
        <row r="31">
          <cell r="B31">
            <v>0</v>
          </cell>
          <cell r="H31">
            <v>12</v>
          </cell>
        </row>
        <row r="32">
          <cell r="B32">
            <v>0</v>
          </cell>
          <cell r="H32">
            <v>12</v>
          </cell>
        </row>
        <row r="33">
          <cell r="B33">
            <v>0</v>
          </cell>
          <cell r="H33">
            <v>12</v>
          </cell>
        </row>
        <row r="34">
          <cell r="B34">
            <v>0</v>
          </cell>
          <cell r="H34">
            <v>0</v>
          </cell>
        </row>
        <row r="35">
          <cell r="B35">
            <v>0</v>
          </cell>
          <cell r="H35">
            <v>0</v>
          </cell>
        </row>
        <row r="36">
          <cell r="B36">
            <v>0</v>
          </cell>
          <cell r="H36">
            <v>0</v>
          </cell>
        </row>
        <row r="37">
          <cell r="B37">
            <v>0</v>
          </cell>
          <cell r="H37">
            <v>0</v>
          </cell>
        </row>
        <row r="38">
          <cell r="B38">
            <v>0</v>
          </cell>
          <cell r="H38">
            <v>0</v>
          </cell>
        </row>
        <row r="39">
          <cell r="B39">
            <v>0</v>
          </cell>
          <cell r="H39">
            <v>0</v>
          </cell>
        </row>
        <row r="40">
          <cell r="B40">
            <v>0</v>
          </cell>
          <cell r="H40">
            <v>0</v>
          </cell>
        </row>
        <row r="41">
          <cell r="B41">
            <v>0</v>
          </cell>
          <cell r="H41">
            <v>0</v>
          </cell>
        </row>
        <row r="42">
          <cell r="B42">
            <v>0</v>
          </cell>
          <cell r="H42">
            <v>0</v>
          </cell>
        </row>
        <row r="43">
          <cell r="B43">
            <v>0</v>
          </cell>
          <cell r="H43">
            <v>0</v>
          </cell>
        </row>
        <row r="44">
          <cell r="B44">
            <v>0</v>
          </cell>
          <cell r="H44">
            <v>0</v>
          </cell>
        </row>
        <row r="45">
          <cell r="B45">
            <v>0</v>
          </cell>
          <cell r="H45">
            <v>0</v>
          </cell>
        </row>
        <row r="46">
          <cell r="B46">
            <v>0</v>
          </cell>
          <cell r="H46">
            <v>0</v>
          </cell>
        </row>
        <row r="47">
          <cell r="B47">
            <v>0</v>
          </cell>
          <cell r="H47">
            <v>0</v>
          </cell>
        </row>
        <row r="48">
          <cell r="B48">
            <v>0</v>
          </cell>
          <cell r="H48">
            <v>0</v>
          </cell>
        </row>
        <row r="49">
          <cell r="B49">
            <v>0</v>
          </cell>
          <cell r="H49">
            <v>0</v>
          </cell>
        </row>
        <row r="50">
          <cell r="B50">
            <v>2</v>
          </cell>
          <cell r="H50">
            <v>0</v>
          </cell>
        </row>
        <row r="51">
          <cell r="B51">
            <v>0</v>
          </cell>
          <cell r="H51">
            <v>0</v>
          </cell>
        </row>
        <row r="52">
          <cell r="B52">
            <v>0</v>
          </cell>
          <cell r="H52">
            <v>0</v>
          </cell>
        </row>
        <row r="53">
          <cell r="B53">
            <v>0</v>
          </cell>
          <cell r="H53">
            <v>0</v>
          </cell>
        </row>
        <row r="54">
          <cell r="B54">
            <v>0</v>
          </cell>
          <cell r="H54">
            <v>0</v>
          </cell>
        </row>
        <row r="55">
          <cell r="B55">
            <v>0</v>
          </cell>
          <cell r="H55">
            <v>0</v>
          </cell>
        </row>
        <row r="56">
          <cell r="B56">
            <v>0</v>
          </cell>
          <cell r="H56">
            <v>0</v>
          </cell>
        </row>
        <row r="57">
          <cell r="B57">
            <v>0</v>
          </cell>
          <cell r="H57">
            <v>0</v>
          </cell>
        </row>
        <row r="58">
          <cell r="B58">
            <v>0</v>
          </cell>
          <cell r="H58">
            <v>0</v>
          </cell>
        </row>
        <row r="59">
          <cell r="B59">
            <v>0</v>
          </cell>
          <cell r="H59">
            <v>0</v>
          </cell>
        </row>
        <row r="60">
          <cell r="B60">
            <v>0</v>
          </cell>
          <cell r="H60">
            <v>0</v>
          </cell>
        </row>
        <row r="61">
          <cell r="B61">
            <v>0</v>
          </cell>
          <cell r="H61">
            <v>0</v>
          </cell>
        </row>
        <row r="62">
          <cell r="B62">
            <v>0</v>
          </cell>
          <cell r="H62">
            <v>0</v>
          </cell>
        </row>
        <row r="63">
          <cell r="B63">
            <v>0</v>
          </cell>
          <cell r="H63">
            <v>0</v>
          </cell>
        </row>
        <row r="64">
          <cell r="B64">
            <v>0</v>
          </cell>
          <cell r="H64">
            <v>0</v>
          </cell>
        </row>
        <row r="65">
          <cell r="B65">
            <v>0</v>
          </cell>
          <cell r="H65">
            <v>0</v>
          </cell>
        </row>
        <row r="66">
          <cell r="B66">
            <v>0</v>
          </cell>
          <cell r="H66">
            <v>0</v>
          </cell>
        </row>
        <row r="67">
          <cell r="B67">
            <v>0</v>
          </cell>
          <cell r="H67">
            <v>0</v>
          </cell>
        </row>
        <row r="68">
          <cell r="B68">
            <v>0</v>
          </cell>
          <cell r="H68">
            <v>0</v>
          </cell>
        </row>
        <row r="69">
          <cell r="B69">
            <v>0</v>
          </cell>
          <cell r="H69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FD9201-CA44-4A8B-B816-9E4E4814167A}" name="Table1" displayName="Table1" ref="A3:C69" totalsRowShown="0">
  <autoFilter ref="A3:C69" xr:uid="{00000000-0009-0000-0100-000001000000}"/>
  <tableColumns count="3">
    <tableColumn id="1" xr3:uid="{00000000-0010-0000-0000-000001000000}" name="PLAN YEAR" dataDxfId="5"/>
    <tableColumn id="2" xr3:uid="{00000000-0010-0000-0000-000002000000}" name="MONTHS WORKED"/>
    <tableColumn id="3" xr3:uid="{00000000-0010-0000-0000-000003000000}" name="MONTHS MARRIED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757CDA-8A31-4FAF-9644-CA916A1FB09F}" name="Table13" displayName="Table13" ref="G3:I69" totalsRowShown="0">
  <autoFilter ref="G3:I69" xr:uid="{CE757CDA-8A31-4FAF-9644-CA916A1FB09F}"/>
  <tableColumns count="3">
    <tableColumn id="1" xr3:uid="{1BB011DA-94C7-4938-BB45-401060D15E24}" name="PLAN YEAR" dataDxfId="4"/>
    <tableColumn id="2" xr3:uid="{CDEBE42D-08BF-4483-9755-31C09893A402}" name="MONTHS WORKED"/>
    <tableColumn id="3" xr3:uid="{9667C797-DE90-488B-861F-BD94B2FAEE0C}" name="MONTHS MARRIED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5FDE-0050-436B-81E5-9EA391B3B1AF}">
  <sheetPr>
    <pageSetUpPr fitToPage="1"/>
  </sheetPr>
  <dimension ref="A1:L36"/>
  <sheetViews>
    <sheetView tabSelected="1" zoomScaleNormal="100" workbookViewId="0">
      <selection activeCell="I29" sqref="I29"/>
    </sheetView>
  </sheetViews>
  <sheetFormatPr defaultColWidth="9.140625" defaultRowHeight="13.5" x14ac:dyDescent="0.25"/>
  <cols>
    <col min="1" max="1" width="12" style="1" customWidth="1"/>
    <col min="2" max="2" width="10.140625" style="1" bestFit="1" customWidth="1"/>
    <col min="3" max="3" width="10.28515625" style="1" customWidth="1"/>
    <col min="4" max="4" width="10.7109375" style="1" customWidth="1"/>
    <col min="5" max="5" width="10" style="1" bestFit="1" customWidth="1"/>
    <col min="6" max="6" width="17.5703125" style="1" customWidth="1"/>
    <col min="7" max="7" width="10.5703125" style="1" customWidth="1"/>
    <col min="8" max="8" width="10" style="1" customWidth="1"/>
    <col min="9" max="9" width="13.5703125" style="1" customWidth="1"/>
    <col min="10" max="10" width="12.7109375" style="1" customWidth="1"/>
    <col min="11" max="11" width="13.42578125" style="1" bestFit="1" customWidth="1"/>
    <col min="12" max="12" width="12.7109375" style="1" bestFit="1" customWidth="1"/>
    <col min="13" max="13" width="9.140625" style="1"/>
    <col min="14" max="14" width="11.85546875" style="1" bestFit="1" customWidth="1"/>
    <col min="15" max="15" width="13.42578125" style="1" bestFit="1" customWidth="1"/>
    <col min="16" max="16" width="12.7109375" style="1" bestFit="1" customWidth="1"/>
    <col min="17" max="16384" width="9.140625" style="1"/>
  </cols>
  <sheetData>
    <row r="1" spans="1:12" x14ac:dyDescent="0.25">
      <c r="A1" s="531" t="s">
        <v>100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</row>
    <row r="2" spans="1:12" x14ac:dyDescent="0.25">
      <c r="A2" s="539" t="s">
        <v>1</v>
      </c>
      <c r="B2" s="539"/>
      <c r="C2" s="548" t="s">
        <v>490</v>
      </c>
      <c r="D2" s="548"/>
      <c r="E2" s="548"/>
      <c r="H2" s="1" t="s">
        <v>0</v>
      </c>
      <c r="I2" s="543" t="s">
        <v>492</v>
      </c>
      <c r="J2" s="543"/>
    </row>
    <row r="3" spans="1:12" x14ac:dyDescent="0.25">
      <c r="A3" s="539" t="s">
        <v>6</v>
      </c>
      <c r="B3" s="539"/>
      <c r="C3" s="227">
        <v>23105</v>
      </c>
    </row>
    <row r="4" spans="1:12" x14ac:dyDescent="0.25">
      <c r="A4" s="547" t="s">
        <v>2</v>
      </c>
      <c r="B4" s="547"/>
      <c r="C4" s="20" t="str">
        <f>DATEDIF(C3,C5,"y")&amp;"/"&amp;(DATEDIF(C3,C5, "m") - (DATEDIF(C3,C5, "y") * 12))</f>
        <v>62/3</v>
      </c>
    </row>
    <row r="5" spans="1:12" x14ac:dyDescent="0.25">
      <c r="A5" s="539" t="s">
        <v>7</v>
      </c>
      <c r="B5" s="539"/>
      <c r="C5" s="227">
        <v>45870</v>
      </c>
    </row>
    <row r="6" spans="1:12" x14ac:dyDescent="0.25">
      <c r="A6" s="539" t="s">
        <v>3</v>
      </c>
      <c r="B6" s="539"/>
      <c r="C6" s="543" t="s">
        <v>491</v>
      </c>
      <c r="D6" s="543"/>
      <c r="E6" s="543"/>
      <c r="G6" s="539" t="str">
        <f>IF(C7=0,"","Spouse Age Difference from Member:")</f>
        <v>Spouse Age Difference from Member:</v>
      </c>
      <c r="H6" s="539"/>
      <c r="I6" s="539"/>
      <c r="J6" s="12">
        <f>IF(C7=0,"",IF(AND(C3-C7&lt;0,(DATEDIF(C3,C5,"m")-(DATEDIF(C3,C5,"y")*12))-(DATEDIF(C7,C5,"m")-(DATEDIF(C7,C5,"y")*12))=0),DATEDIF(C3,C5,"y")-DATEDIF(C7,C5,"y"),IF(AND(C3-C7&gt;0,(DATEDIF(C7,C5,"m")-(DATEDIF(C7,C5,"y")*12))-(DATEDIF(C3,C5,"m")-(DATEDIF(C3,C5,"y")*12))=0),DATEDIF(C7,C5,"y")-DATEDIF(C3,C5,"y"),IF(C3-C7&lt;0,ROUNDDOWN(YEARFRAC(C3,C7),0),IF(C3-C7&gt;0,ROUNDDOWN(YEARFRAC(C7,C3),0),0)))))</f>
        <v>8</v>
      </c>
      <c r="K6" s="1" t="str">
        <f>IF(C7=0,"",IF(J6=0,"No Difference.",IF(C3-C7&lt;0,"Year(s) Younger.", IF(C3-C7&gt;0, "Year(s) Older.","No Difference."))))</f>
        <v>Year(s) Younger.</v>
      </c>
    </row>
    <row r="7" spans="1:12" x14ac:dyDescent="0.25">
      <c r="A7" s="539" t="s">
        <v>5</v>
      </c>
      <c r="B7" s="539"/>
      <c r="C7" s="227">
        <v>26366</v>
      </c>
    </row>
    <row r="8" spans="1:12" ht="14.65" customHeight="1" thickBot="1" x14ac:dyDescent="0.3">
      <c r="A8" s="539" t="str">
        <f>IF(COUNTIF(C7,""),"","Spouse Age at Retirement:")</f>
        <v>Spouse Age at Retirement:</v>
      </c>
      <c r="B8" s="539"/>
      <c r="C8" s="20" t="str">
        <f>IF(COUNTIF(C7,""),"",DATEDIF(C7,C5,"y")&amp;"/"&amp;(DATEDIF(C7,C5,"m")-(DATEDIF(C7,C5,"y")*12)))</f>
        <v>53/4</v>
      </c>
      <c r="D8" s="549" t="s">
        <v>493</v>
      </c>
      <c r="E8" s="549"/>
      <c r="F8" s="549"/>
      <c r="G8" s="549"/>
      <c r="H8" s="549"/>
    </row>
    <row r="9" spans="1:12" ht="15.75" customHeight="1" thickBot="1" x14ac:dyDescent="0.3">
      <c r="A9" s="532" t="s">
        <v>8</v>
      </c>
      <c r="B9" s="533"/>
      <c r="C9" s="534"/>
      <c r="D9" s="544" t="s">
        <v>14</v>
      </c>
      <c r="E9" s="544"/>
      <c r="F9" s="544"/>
      <c r="G9" s="544"/>
      <c r="H9" s="545"/>
      <c r="I9" s="540" t="str">
        <f>IF(COUNTIF(C7,""),"",IF(COUNTIF(D8,"1.*"),"Early Retirement H&amp;W Pension Options",IF(COUNTIF(D8,"2.*"),"Regular at 62 H&amp;W Pension Options",IF(COUNTIF(D8,"3.*"),"Regular at 62 &amp; Early H&amp;W Pension Options",IF(COUNTIF(D8,"4.*"),"Regular at 62 H&amp;W Pension Options",IF(COUNTIF(D8,"5.*"),"Regular at 65 H&amp;W Pension Options",IF(COUNTIF(D8,"6.*"),"Disability H&amp;W Pension Options",IF(COUNTIF(D8,"7.*"),"Service Pre-Age 55 H&amp;W Pension Options",IF(COUNTIF(D8,"8.*"),"Service Pre-Age 55 H&amp;W Pension Options",IF(COUNTIF(D8,"9.*"),"Service H&amp;W Pension Options","Additional H&amp;W Options"))))))))))</f>
        <v>Service Pre-Age 55 H&amp;W Pension Options</v>
      </c>
      <c r="J9" s="541"/>
      <c r="K9" s="541"/>
      <c r="L9" s="542"/>
    </row>
    <row r="10" spans="1:12" ht="14.25" thickBot="1" x14ac:dyDescent="0.3">
      <c r="A10" s="27" t="s">
        <v>35</v>
      </c>
      <c r="B10" s="28" t="s">
        <v>9</v>
      </c>
      <c r="C10" s="29" t="s">
        <v>10</v>
      </c>
      <c r="D10" s="546" t="s">
        <v>33</v>
      </c>
      <c r="E10" s="546"/>
      <c r="F10" s="546"/>
      <c r="G10" s="546"/>
      <c r="H10" s="21">
        <f>SUM(A11:A17,A20:A21,A24:A29)</f>
        <v>7.33</v>
      </c>
      <c r="I10" s="11" t="str">
        <f>IF(COUNTIF(C7,""),"","Option")</f>
        <v>Option</v>
      </c>
      <c r="J10" s="10" t="str">
        <f>IF(COUNTIF(C7,""),"","Factor")</f>
        <v>Factor</v>
      </c>
      <c r="K10" s="10" t="str">
        <f>IF(COUNTIF(C7,""),"","Member Benefit")</f>
        <v>Member Benefit</v>
      </c>
      <c r="L10" s="15" t="str">
        <f>IF(COUNTIF(C7,""),"","Spouse Benefit")</f>
        <v>Spouse Benefit</v>
      </c>
    </row>
    <row r="11" spans="1:12" x14ac:dyDescent="0.25">
      <c r="A11" s="38"/>
      <c r="B11" s="229"/>
      <c r="C11" s="5">
        <f>A11*B11</f>
        <v>0</v>
      </c>
      <c r="D11" s="539" t="s">
        <v>15</v>
      </c>
      <c r="E11" s="539"/>
      <c r="F11" s="539"/>
      <c r="G11" s="21">
        <f>SUM(A11:A17)</f>
        <v>7.33</v>
      </c>
      <c r="H11" s="3">
        <f>C18</f>
        <v>876</v>
      </c>
      <c r="I11" s="16" t="str">
        <f>IF(COUNTIF(C7,""),"","50%")</f>
        <v>50%</v>
      </c>
      <c r="J11" s="102" t="str">
        <f>IF(COUNTIF(C7,""),"",IF(COUNTIF(D8,"4.*"),IF(COUNTIF(K6,"*Younger*"),100%-8%-(J6*0.4%),IF(100%-8%+(J6*0.4%)&gt;100%,100%,100%-8%+(J6*0.4%)))*100&amp;"% / "&amp;IF(COUNTIF(K6,"*Younger*"),100%-18%-(J6*0.4%),IF(100%-18%+(J6*0.4%)&gt;100%,100%,100%-18%+(J6*0.4%)))*100&amp;"%",IF(COUNTIF(D8,"6.*"),IF(COUNTIF(K6,"*Younger*"),100%-18%-(J6*0.4%),IF(100%-18%+(J6*0.4%)&gt;100%,100%,100%-18%+(J6*0.4%))),IF(COUNTIF(D8,"8.*"),IF(COUNTIF(K6,"*Younger*"),100%-8%-(J6*0.4%),IF(100%-8%+(J6*0.4%)&gt;100%,100%,100%-8%+(J6*0.4%)))*100&amp;"% / "&amp;IF(COUNTIF(K6,"*Younger*"),100%-18%-(J6*0.4%),IF(100%-18%+(J6*0.4%)&gt;100%,100%,100%-18%+(J6*0.4%)))*100&amp;"%",IF(COUNTIF(K6,"*Younger*"),100%-8%-(J6*0.4%),IF(100%-8%+(J6*0.4%)&gt;100%,100%,100%-8%+(J6*0.4%)))))))</f>
        <v>88.8% / 78.8%</v>
      </c>
      <c r="K11" s="31">
        <f>IF(COUNTIF(C7,""),"",IF(COUNTIF(D8,"1.*"),(H13+H16+H19)*J11,IF(COUNTIF(D8,"2.*"),(H11)*J11,IF(COUNTIF(D8,"3.*"),(H11+H16+H19)*J11,IF(COUNTIF(D8,"5.*"),(H11+H14+H17)*J11,IF(COUNTIF(D8,"6.*"),(H11+H14+H17)*J11,IF(COUNTIF(D8,"7.*"),(H11+H14)*J11,IF(COUNTIF(D8,"8.*"),(H11+H14)*IF(COUNTIF(K6,"*Younger*"),100%-8%-(J6*0.4%),IF(100%-8%+(J6*0.4%)&gt;100%,100%,100%-8%+(J6*0.4%)))+(H17*IF(COUNTIF(K6,"*Younger*"),100%-18%-(J6*0.4%),IF(100%-18%+(J6*0.4%)&gt;100%,100%,100%-18%+(J6*0.4%)))),IF(COUNTIF(D8,"4.*"),H11*IF(COUNTIF(K6,"*Younger*"),100%-8%-(J6*0.4%),IF(100%-8%+(J6*0.4%)&gt;100%,100%,100%-8%+(J6*0.4%)))+(H14+H17)*IF(COUNTIF(K6,"*Younger*"),100%-18%-(J6*0.4%),IF(100%-18%+(J6*0.4%)&gt;100%,100%,100%-18%+(J6*0.4%))),IF(COUNTIF(D8,"9.*"),(H11+H14+H17)*J11,""))))))))))</f>
        <v>777.88800000000003</v>
      </c>
      <c r="L11" s="5">
        <f>IF(COUNTIF(C7,""),"",K11*I11)</f>
        <v>388.94400000000002</v>
      </c>
    </row>
    <row r="12" spans="1:12" x14ac:dyDescent="0.25">
      <c r="A12" s="38"/>
      <c r="B12" s="229"/>
      <c r="C12" s="5">
        <f t="shared" ref="C12:C17" si="0">A12*B12</f>
        <v>0</v>
      </c>
      <c r="D12" s="1" t="str">
        <f>IF(COUNTIF(D8,"1.*"),"ER Factor","")</f>
        <v/>
      </c>
      <c r="H12" s="4" t="str">
        <f>IF(COUNTIF(D8,"1.*"),IF(DATEDIF(C3,C5,"m")&lt;=600,(DATEDIF(C3,C5,"m")-540)*0.1%+40%,IF(DATEDIF(C3,C5,"m")&lt;=660,(DATEDIF(C3,C5,"m")-600)*0.2%+46%,IF((DATEDIF(C3,C5,"m")-660)*0.5%+58%&gt;=100%,100%,(DATEDIF(C3,C5,"m")-660)*0.5%+58%))),"")</f>
        <v/>
      </c>
      <c r="I12" s="6" t="str">
        <f>IF(COUNTIF(C7,""),"","13th Check")</f>
        <v>13th Check</v>
      </c>
      <c r="J12" s="102" t="str">
        <f>IF(COUNTIF(C7,""),"",IF(COUNTIF(D8,"4.*"),IF(COUNTIF(K6,"*Younger*"),100%-8%-(J6*0.4%),IF(100%-8%+(J6*0.4%)&gt;100%,100%,100%-8%+(J6*0.4%)))*100&amp;"% / "&amp;IF(COUNTIF(K6,"*Younger*"),100%-18%-(J6*0.4%),IF(100%-18%+(J6*0.4%)&gt;100%,100%,100%-18%+(J6*0.4%)))*100&amp;"%",IF(COUNTIF(D8,"6.*"),IF(COUNTIF(K6,"*Younger*"),100%-18%-(J6*0.4%),IF(100%-18%+(J6*0.4%)&gt;100%,100%,100%-18%+(J6*0.4%))),IF(COUNTIF(D8,"8.*"),IF(COUNTIF(K6,"*Younger*"),100%-8%-(J6*0.4%),IF(100%-8%+(J6*0.4%)&gt;100%,100%,100%-8%+(J6*0.4%)))*100&amp;"% / "&amp;IF(COUNTIF(K6,"*Younger*"),100%-18%-(J6*0.4%),IF(100%-18%+(J6*0.4%)&gt;100%,100%,100%-18%+(J6*0.4%)))*100&amp;"%",IF(COUNTIF(K6,"*Younger*"),100%-8%-(J6*0.4%),IF(100%-8%+(J6*0.4%)&gt;100%,100%,100%-8%+(J6*0.4%)))))))</f>
        <v>88.8% / 78.8%</v>
      </c>
      <c r="K12" s="31">
        <f>IF(COUNTIF(C7,""),"",IF(COUNTIF(D8,"1.*"),(H13+H16+H19)*J12,IF(COUNTIF(D8,"2.*"),(H11)*J12,IF(COUNTIF(D8,"3.*"),(H11+H16+H19)*J12,IF(COUNTIF(D8,"5.*"),(H11+H14+H17)*J12,IF(COUNTIF(D8,"6.*"),(H11+H14+H17)*J12,IF(COUNTIF(D8,"7.*"),(H11+H14)*J12,IF(COUNTIF(D8,"8.*"),(H11+H14)*IF(COUNTIF(K6,"*Younger*"),100%-8%-(J6*0.4%),IF(100%-8%+(J6*0.4%)&gt;100%,100%,100%-8%+(J6*0.4%)))+(H17*IF(COUNTIF(K6,"*Younger*"),100%-18%-(J6*0.4%),IF(100%-18%+(J6*0.4%)&gt;100%,100%,100%-18%+(J6*0.4%)))),IF(COUNTIF(D8,"4.*"),H11*IF(COUNTIF(K6,"*Younger*"),100%-8%-(J6*0.4%),IF(100%-8%+(J6*0.4%)&gt;100%,100%,100%-8%+(J6*0.4%)))+(H14+H17)*IF(COUNTIF(K6,"*Younger*"),100%-18%-(J6*0.4%),IF(100%-18%+(J6*0.4%)&gt;100%,100%,100%-18%+(J6*0.4%))),IF(COUNTIF(D8,"9.*"),(H11+H14+H17)*J12,""))))))))))</f>
        <v>777.88800000000003</v>
      </c>
      <c r="L12" s="5">
        <f>IF(COUNTIF(C7,""),"",K12*I11)</f>
        <v>388.94400000000002</v>
      </c>
    </row>
    <row r="13" spans="1:12" x14ac:dyDescent="0.25">
      <c r="A13" s="38"/>
      <c r="B13" s="229"/>
      <c r="C13" s="5">
        <f t="shared" si="0"/>
        <v>0</v>
      </c>
      <c r="D13" s="547" t="str">
        <f>IF(COUNTIF(D8,"1.*"),"ER Benefit Prior to 09/01/2011","")</f>
        <v/>
      </c>
      <c r="E13" s="547"/>
      <c r="F13" s="547"/>
      <c r="G13" s="547"/>
      <c r="H13" s="3" t="str">
        <f>IF(COUNTIF(D8,"1.*"),(H11*H12),"")</f>
        <v/>
      </c>
      <c r="I13" s="16" t="str">
        <f>IF(COUNTIF(C7,""),"","75%")</f>
        <v>75%</v>
      </c>
      <c r="J13" s="102" t="str">
        <f>IF(COUNTIF(C7,""),"",IF(COUNTIF(D8,"4.*"),IF(COUNTIF(K6,"*Younger*"),100%-12%-(J6*0.4%),IF(100%-12%+(J6*0.4%)&gt;100%,100%,100%-12%+(J6*0.4%)))*100&amp;"% / "&amp;IF(COUNTIF(K6,"*Younger*"),100%-24%-(J6*0.4%),IF(100%-24%+(J6*0.4%)&gt;100%,100%,100%-24%+(J6*0.4%)))*100&amp;"%",IF(COUNTIF(D8,"6.*"),IF(COUNTIF(K6,"*Younger*"),100%-24%-(J6*0.4%),IF(100%-24%+(J6*0.4%)&gt;100%,100%,100%-24%+(J6*0.4%))),IF(COUNTIF(D8,"8.*"),IF(COUNTIF(K6,"*Younger*"),100%-12%-(J6*0.4%),IF(100%-12%+(J6*0.4%)&gt;100%,100%,100%-12%+(J6*0.4%)))*100&amp;"% / "&amp;IF(COUNTIF(K6,"*Younger*"),100%-24%-(J6*0.4%),IF(100%-24%+(J6*0.4%)&gt;100%,100%,100%-24%+(J6*0.4%)))*100&amp;"%",IF(COUNTIF(K6,"*Younger*"),100%-12%-(J6*0.4%),IF(100%-12%+(J6*0.4%)&gt;100%,100%,100%-12%+(J6*0.4%)))))))</f>
        <v>84.8% / 72.8%</v>
      </c>
      <c r="K13" s="31">
        <f>IF(COUNTIF(C7,""),"",IF(COUNTIF(D8,"1.*"),(H13+H16+H19)*J13,IF(COUNTIF(D8,"2.*"),(H11)*J13,IF(COUNTIF(D8,"3.*"),(H11+H16+H19)*J13,IF(COUNTIF(D8,"5.*"),(H11+H14+H17)*J13,IF(COUNTIF(D8,"6.*"),(H11+H14+H17)*J13,IF(COUNTIF(D8,"7.*"),(H11+H14)*J13,IF(COUNTIF(D8,"8.*"),(H11+H14)*IF(COUNTIF(K6,"*Younger*"),100%-12%-(J6*0.4%),IF(100%-12%+(J6*0.4%)&gt;100%,100%,100%-12%+(J6*0.4%)))+(H17*IF(COUNTIF(K6,"*Younger*"),100%-24%-(J6*0.4%),IF(100%-24%+(J6*0.4%)&gt;100%,100%,100%-24%+(J6*0.4%)))),IF(COUNTIF(D8,"4.*"),H11*IF(COUNTIF(K6,"*Younger*"),100%-12%-(J6*0.4%),IF(100%-12%+(J6*0.4%)&gt;100%,100%,100%-12%+(J6*0.4%)))+(H14+H17)*IF(COUNTIF(K6,"*Younger*"),100%-24%-(J6*0.4%),IF(100%-24%+(J6*0.4%)&gt;100%,100%,100%-24%+(J6*0.4%))),IF(COUNTIF(D8,"9.*"),(H11+H14+H17)*J13,""))))))))))</f>
        <v>742.84799999999996</v>
      </c>
      <c r="L13" s="5">
        <f>IF(COUNTIF(C7,""),"",K13*I13)</f>
        <v>557.13599999999997</v>
      </c>
    </row>
    <row r="14" spans="1:12" x14ac:dyDescent="0.25">
      <c r="A14" s="38"/>
      <c r="B14" s="31">
        <v>50</v>
      </c>
      <c r="C14" s="5">
        <f t="shared" si="0"/>
        <v>0</v>
      </c>
      <c r="D14" s="550" t="str">
        <f>"Member Benefit from 09/01/2011 to 09/30/2014"</f>
        <v>Member Benefit from 09/01/2011 to 09/30/2014</v>
      </c>
      <c r="E14" s="539"/>
      <c r="F14" s="539"/>
      <c r="G14" s="21">
        <f>SUM(A20:A21)</f>
        <v>0</v>
      </c>
      <c r="H14" s="3">
        <f>C22</f>
        <v>0</v>
      </c>
      <c r="I14" s="6" t="str">
        <f>IF(COUNTIF(C7,""),"","13th Check")</f>
        <v>13th Check</v>
      </c>
      <c r="J14" s="102" t="str">
        <f>IF(COUNTIF(C7,""),"",IF(COUNTIF(D8,"4.*"),IF(COUNTIF(K6,"*Younger*"),100%-12%-(J6*0.4%),IF(100%-12%+(J6*0.4%)&gt;100%,100%,100%-12%+(J6*0.4%)))*100&amp;"% / "&amp;IF(COUNTIF(K6,"*Younger*"),100%-24%-(J6*0.4%),IF(100%-24%+(J6*0.4%)&gt;100%,100%,100%-24%+(J6*0.4%)))*100&amp;"%",IF(COUNTIF(D8,"6.*"),IF(COUNTIF(K6,"*Younger*"),100%-24%-(J6*0.4%),IF(100%-24%+(J6*0.4%)&gt;100%,100%,100%-24%+(J6*0.4%))),IF(COUNTIF(D8,"8.*"),IF(COUNTIF(K6,"*Younger*"),100%-12%-(J6*0.4%),IF(100%-12%+(J6*0.4%)&gt;100%,100%,100%-12%+(J6*0.4%)))*100&amp;"% / "&amp;IF(COUNTIF(K6,"*Younger*"),100%-24%-(J6*0.4%),IF(100%-24%+(J6*0.4%)&gt;100%,100%,100%-24%+(J6*0.4%)))*100&amp;"%",IF(COUNTIF(K6,"*Younger*"),100%-12%-(J6*0.4%),IF(100%-12%+(J6*0.4%)&gt;100%,100%,100%-12%+(J6*0.4%)))))))</f>
        <v>84.8% / 72.8%</v>
      </c>
      <c r="K14" s="31">
        <f>IF(COUNTIF(C7,""),"",IF(COUNTIF(D8,"1.*"),(H13+H16+H19)*J14,IF(COUNTIF(D8,"2.*"),(H11)*J14,IF(COUNTIF(D8,"3.*"),(H11+H16+H19)*J14,IF(COUNTIF(D8,"5.*"),(H11+H14+H17)*J14,IF(COUNTIF(D8,"6.*"),(H11+H14+H17)*J14,IF(COUNTIF(D8,"7.*"),(H11+H14)*J14,IF(COUNTIF(D8,"8.*"),(H11+H14)*IF(COUNTIF(K6,"*Younger*"),100%-12%-(J6*0.4%),IF(100%-12%+(J6*0.4%)&gt;100%,100%,100%-12%+(J6*0.4%)))+(H17*IF(COUNTIF(K6,"*Younger*"),100%-24%-(J6*0.4%),IF(100%-24%+(J6*0.4%)&gt;100%,100%,100%-24%+(J6*0.4%)))),IF(COUNTIF(D8,"4.*"),H11*IF(COUNTIF(K6,"*Younger*"),100%-12%-(J6*0.4%),IF(100%-12%+(J6*0.4%)&gt;100%,100%,100%-12%+(J6*0.4%)))+(H14+H17)*IF(COUNTIF(K6,"*Younger*"),100%-24%-(J6*0.4%),IF(100%-24%+(J6*0.4%)&gt;100%,100%,100%-24%+(J6*0.4%))),IF(COUNTIF(D8,"9.*"),(H11+H14+H17)*J14,""))))))))))</f>
        <v>742.84799999999996</v>
      </c>
      <c r="L14" s="5">
        <f>IF(COUNTIF(C7,""),"",K14*I13)</f>
        <v>557.13599999999997</v>
      </c>
    </row>
    <row r="15" spans="1:12" x14ac:dyDescent="0.25">
      <c r="A15" s="38">
        <v>5.75</v>
      </c>
      <c r="B15" s="31">
        <v>118</v>
      </c>
      <c r="C15" s="5">
        <f t="shared" si="0"/>
        <v>678.5</v>
      </c>
      <c r="D15" s="2" t="str">
        <f>IF(OR(COUNTIF(D8,"1.*"),COUNTIF(D8,"2.*"),COUNTIF(D8,"3.*")),"ER Factor","")</f>
        <v/>
      </c>
      <c r="E15" s="2"/>
      <c r="H15" s="4" t="str">
        <f>IF(OR(COUNTIF(D8,"1.*"),COUNTIF(D8,"2.*"),COUNTIF(D8,"3.*")),IF(DATEDIF(C3,C5,"m")&lt;=600,(DATEDIF(C3,C5,"m")-540)*0.1%+22%,IF(DATEDIF(C3,C5,"m")&lt;=660,(DATEDIF(C3,C5,"m")-600)*0.2%+28%,IF((DATEDIF(C3,C5,"m")-660)*0.5%+40%&gt;=100%,100%,(DATEDIF(C3,C5,"m")-660)*0.5%+40%))),"")</f>
        <v/>
      </c>
      <c r="I15" s="16" t="str">
        <f>IF(COUNTIF(C7,""),"","100%")</f>
        <v>100%</v>
      </c>
      <c r="J15" s="102" t="str">
        <f>IF(COUNTIF(C7,""),"",IF(COUNTIF(D8,"4.*"),IF(COUNTIF(K6,"*Younger*"),100%-15%-(J6*0.5%),IF(100%-15%+(J6*0.5%)&gt;100%,100%,100%-15%+(J6*0.5%)))*100&amp;"% / "&amp;IF(COUNTIF(K6,"*Younger*"),100%-30%-(J6*0.5%),IF(100%-30%+(J6*0.5%)&gt;100%,100%,100%-30%+(J6*0.5%)))*100&amp;"%",IF(COUNTIF(D8,"6.*"),IF(COUNTIF(K6,"*Younger*"),100%-30%-(J6*0.5%),IF(100%-30%+(J6*0.5%)&gt;100%,100%,100%-30%+(J6*0.5%))),IF(COUNTIF(D8,"8.*"),IF(COUNTIF(K6,"*Younger*"),100%-15%-(J6*0.5%),IF(100%-15%+(J6*0.5%)&gt;100%,100%,100%-15%+(J6*0.5%)))*100&amp;"% / "&amp;IF(COUNTIF(K6,"*Younger*"),100%-30%-(J6*0.5%),IF(100%-30%+(J6*0.5%)&gt;100%,100%,100%-30%+(J6*0.5%)))*100&amp;"%",IF(COUNTIF(K6,"*Younger*"),100%-15%-(J6*0.5%),IF(100%-15%+(J6*0.5%)&gt;100%,100%,100%-15%+(J6*0.5%)))))))</f>
        <v>81% / 66%</v>
      </c>
      <c r="K15" s="31">
        <f>IF(COUNTIF(C7,""),"",IF(COUNTIF(D8,"1.*"),(H13+H16+H19)*J15,IF(COUNTIF(D8,"2.*"),(H11)*J15,IF(COUNTIF(D8,"3.*"),(H11+H16+H19)*J15,IF(COUNTIF(D8,"5.*"),(H11+H14+H17)*J15,IF(COUNTIF(D8,"6.*"),(H11+H14+H17)*J15,IF(COUNTIF(D8,"7.*"),(H11+H14)*J15,IF(COUNTIF(D8,"8.*"),(H11+H14)*IF(COUNTIF(K6,"*Younger*"),100%-15%-(J6*0.5%),IF(100%-15%+(J6*0.5%)&gt;100%,100%,100%-15%+(J6*0.5%)))+(H17*IF(COUNTIF(K6,"*Younger*"),100%-30%-(J6*0.5%),IF(100%-30%+(J6*0.5%)&gt;100%,100%,100%-30%+(J6*0.5%)))),IF(COUNTIF(D8,"4.*"),H11*IF(COUNTIF(K6,"*Younger*"),100%-15%-(J6*0.5%),IF(100%-15%+(J6*0.5%)&gt;100%,100%,100%-15%+(J6*0.5%)))+(H14+H17)*IF(COUNTIF(K6,"*Younger*"),100%-30%-(J6*0.5%),IF(100%-30%+(J6*0.5%)&gt;100%,100%,100%-30%+(J6*0.5%))),IF(COUNTIF(D8,"9.*"),(H11+H14+H17)*J15,""))))))))))</f>
        <v>709.56</v>
      </c>
      <c r="L15" s="5">
        <f>IF(COUNTIF(C7,""),"",K15*I15)</f>
        <v>709.56</v>
      </c>
    </row>
    <row r="16" spans="1:12" ht="14.25" thickBot="1" x14ac:dyDescent="0.3">
      <c r="A16" s="38"/>
      <c r="B16" s="31">
        <v>105</v>
      </c>
      <c r="C16" s="5">
        <f t="shared" si="0"/>
        <v>0</v>
      </c>
      <c r="D16" s="547" t="str">
        <f>IF(OR(COUNTIF(D8,"1.*"),COUNTIF(D8,"2.*"),COUNTIF(D8,"3.*")),"ER Benefit from 09/01/2011 to 09/30/2014","")</f>
        <v/>
      </c>
      <c r="E16" s="547"/>
      <c r="F16" s="547"/>
      <c r="G16" s="547"/>
      <c r="H16" s="3" t="str">
        <f>IF(OR(COUNTIF(D8,"1.*"),COUNTIF(D8,"2.*"),COUNTIF(D8,"3.*")),H14*H15,"")</f>
        <v/>
      </c>
      <c r="I16" s="18" t="str">
        <f>IF(COUNTIF(C7,""),"","13th Check")</f>
        <v>13th Check</v>
      </c>
      <c r="J16" s="105" t="str">
        <f>IF(COUNTIF(C7,""),"",IF(COUNTIF(D8,"4.*"),IF(COUNTIF(K6,"*Younger*"),100%-15%-(J6*0.5%),IF(100%-15%+(J6*0.5%)&gt;100%,100%,100%-15%+(J6*0.5%)))*100&amp;"% / "&amp;IF(COUNTIF(K6,"*Younger*"),100%-30%-(J6*0.5%),IF(100%-30%+(J6*0.5%)&gt;100%,100%,100%-30%+(J6*0.5%)))*100&amp;"%",IF(COUNTIF(D8,"6.*"),IF(COUNTIF(K6,"*Younger*"),100%-30%-(J6*0.5%),IF(100%-30%+(J6*0.5%)&gt;100%,100%,100%-30%+(J6*0.5%))),IF(COUNTIF(D8,"8.*"),IF(COUNTIF(K6,"*Younger*"),100%-15%-(J6*0.5%),IF(100%-15%+(J6*0.5%)&gt;100%,100%,100%-15%+(J6*0.5%)))*100&amp;"% / "&amp;IF(COUNTIF(K6,"*Younger*"),100%-30%-(J6*0.5%),IF(100%-30%+(J6*0.5%)&gt;100%,100%,100%-30%+(J6*0.5%)))*100&amp;"%",IF(COUNTIF(K6,"*Younger*"),100%-15%-(J6*0.5%),IF(100%-15%+(J6*0.5%)&gt;100%,100%,100%-15%+(J6*0.5%)))))))</f>
        <v>81% / 66%</v>
      </c>
      <c r="K16" s="92">
        <f>IF(COUNTIF(C7,""),"",IF(COUNTIF(D8,"1.*"),(H13+H16+H19)*J16,IF(COUNTIF(D8,"2.*"),(H11)*J16,IF(COUNTIF(D8,"3.*"),(H11+H16+H19)*J16,IF(COUNTIF(D8,"5.*"),(H11+H14+H17)*J16,IF(COUNTIF(D8,"6.*"),(H11+H14+H17)*J16,IF(COUNTIF(D8,"7.*"),(H11+H14)*J16,IF(COUNTIF(D8,"8.*"),(H11+H14)*IF(COUNTIF(K6,"*Younger*"),100%-15%-(J6*0.5%),IF(100%-15%+(J6*0.5%)&gt;100%,100%,100%-15%+(J6*0.5%)))+(H17*IF(COUNTIF(K6,"*Younger*"),100%-30%-(J6*0.5%),IF(100%-30%+(J6*0.5%)&gt;100%,100%,100%-30%+(J6*0.5%)))),IF(COUNTIF(D8,"4.*"),H11*IF(COUNTIF(K6,"*Younger*"),100%-15%-(J6*0.5%),IF(100%-15%+(J6*0.5%)&gt;100%,100%,100%-15%+(J6*0.5%)))+(H14+H17)*IF(COUNTIF(K6,"*Younger*"),100%-30%-(J6*0.5%),IF(100%-30%+(J6*0.5%)&gt;100%,100%,100%-30%+(J6*0.5%))),IF(COUNTIF(D8,"9.*"),(H11+H14+H17)*J16,""))))))))))</f>
        <v>709.56</v>
      </c>
      <c r="L16" s="85">
        <f>IF(COUNTIF(C7,""),"",K16*I15)</f>
        <v>709.56</v>
      </c>
    </row>
    <row r="17" spans="1:12" ht="14.25" thickBot="1" x14ac:dyDescent="0.3">
      <c r="A17" s="38">
        <v>1.58</v>
      </c>
      <c r="B17" s="31">
        <v>125</v>
      </c>
      <c r="C17" s="5">
        <f t="shared" si="0"/>
        <v>197.5</v>
      </c>
      <c r="D17" s="539" t="str">
        <f>"Member Benefit on and After 10/01/2014"</f>
        <v>Member Benefit on and After 10/01/2014</v>
      </c>
      <c r="E17" s="539"/>
      <c r="F17" s="539"/>
      <c r="G17" s="21">
        <f>SUM(A24:A29)</f>
        <v>0</v>
      </c>
      <c r="H17" s="3">
        <f>C30</f>
        <v>0</v>
      </c>
    </row>
    <row r="18" spans="1:12" ht="14.25" thickBot="1" x14ac:dyDescent="0.3">
      <c r="A18" s="24">
        <f>SUM(A11:A17)</f>
        <v>7.33</v>
      </c>
      <c r="B18" s="23" t="s">
        <v>11</v>
      </c>
      <c r="C18" s="26">
        <f>SUM(C11:C17)</f>
        <v>876</v>
      </c>
      <c r="D18" s="1" t="str">
        <f>IF(OR(COUNTIF(D8,"1.*"),COUNTIF(D8,"2.*"),COUNTIF(D8,"3.*"),COUNTIF(D8,"7.*")),"ER Factor","")</f>
        <v/>
      </c>
      <c r="H18" s="4" t="str">
        <f>IF(OR(COUNTIF(D8,"1.*"),COUNTIF(D8,"2.*"),COUNTIF(D8,"3.*"),COUNTIF(D8,"7.*")),IF(DATEDIF(C3,C5,"m")&lt;=600,(DATEDIF(C3,C5,"m")-540)*0.1%+22%,IF(DATEDIF(C3,C5,"m")&lt;=660,(DATEDIF(C3,C5,"m")-600)*0.2%+28%,IF((DATEDIF(C3,C5,"m")-660)*0.5%+40%&gt;=100%,100%,(DATEDIF(C3,C5,"m")-660)*0.5%+40%))),"")</f>
        <v/>
      </c>
      <c r="I18" s="540" t="str">
        <f>IF(COUNTIF(C7,""),"",IF(COUNTIF(D8,"1.*"),"Pension Benefit Deferred at Age 65 H&amp;W Options",IF(COUNTIF(D8,"2.*"),"Regular at 62 &amp; Early H&amp;W Options",IF(OR(COUNTIF(D8,"3.*"),COUNTIF(D8,"7.*")),"Pension Benefit Regular at 62 with Early H&amp;W Options",IF(COUNTIF(D8,"4.*"),"Disability after 09/01/2011 H&amp;W Options",IF(COUNTIF(D8,"8.*"),"Disability after 10/01/2014 H&amp;W Options",""))))))</f>
        <v>Disability after 10/01/2014 H&amp;W Options</v>
      </c>
      <c r="J18" s="541"/>
      <c r="K18" s="541"/>
      <c r="L18" s="542"/>
    </row>
    <row r="19" spans="1:12" ht="15.75" customHeight="1" thickBot="1" x14ac:dyDescent="0.3">
      <c r="A19" s="536" t="s">
        <v>12</v>
      </c>
      <c r="B19" s="537"/>
      <c r="C19" s="538"/>
      <c r="D19" s="547" t="str">
        <f>IF(OR(COUNTIF(D8,"1.*"),COUNTIF(D8,"2.*"),COUNTIF(D8,"3.*"),COUNTIF(D8,"7.*")),"ER Benefit on or After 10/01/2014","")</f>
        <v/>
      </c>
      <c r="E19" s="547"/>
      <c r="F19" s="547"/>
      <c r="G19" s="547"/>
      <c r="H19" s="3" t="str">
        <f>IF(OR(COUNTIF(D8,"1.*"),COUNTIF(D8,"2.*"),COUNTIF(D8,"3.*"),COUNTIF(D8,"7.*")),H17*H18,"")</f>
        <v/>
      </c>
      <c r="I19" s="11" t="str">
        <f>IF(COUNTIF(C7,""),"",IF(OR(COUNTIF(D8,"1.*"),COUNTIF(D8,"2.*"),COUNTIF(D8,"3.*"),COUNTIF(D8,"7.*"),COUNTIF(D8,"8.*")),"Option",""))</f>
        <v>Option</v>
      </c>
      <c r="J19" s="80" t="str">
        <f>IF(COUNTIF(C7,""),"",IF(OR(COUNTIF(D8,"1.*"),COUNTIF(D8,"2.*"),COUNTIF(D8,"3.*"),COUNTIF(D8,"7.*"),COUNTIF(D8,"8.*")),"Factor",""))</f>
        <v>Factor</v>
      </c>
      <c r="K19" s="80" t="str">
        <f>IF(COUNTIF(C7,""),"",IF(OR(COUNTIF(D8,"1.*"),COUNTIF(D8,"2.*"),COUNTIF(D8,"3.*"),COUNTIF(D8,"7.*"),COUNTIF(D8,"8.*")),"Member Benefit",""))</f>
        <v>Member Benefit</v>
      </c>
      <c r="L19" s="103" t="str">
        <f>IF(COUNTIF(C7,""),"",IF(OR(COUNTIF(D8,"1.*"),COUNTIF(D8,"2.*"),COUNTIF(D8,"3.*"),COUNTIF(D8,"7.*"),COUNTIF(D8,"8.*")),"Spouse Benefit",""))</f>
        <v>Spouse Benefit</v>
      </c>
    </row>
    <row r="20" spans="1:12" x14ac:dyDescent="0.25">
      <c r="A20" s="230"/>
      <c r="B20" s="31">
        <v>90</v>
      </c>
      <c r="C20" s="5">
        <f>A20*B20</f>
        <v>0</v>
      </c>
      <c r="D20" s="2"/>
      <c r="E20" s="2"/>
      <c r="I20" s="16" t="str">
        <f>IF(COUNTIF(C7,""),"",IF(OR(COUNTIF(D8,"1.*"),COUNTIF(D8,"2.*"),COUNTIF(D8,"3.*"),COUNTIF(D8,"7.*"),COUNTIF(D8,"8.*")),"50%",""))</f>
        <v>50%</v>
      </c>
      <c r="J20" s="102">
        <f>IF(COUNTIF(C7,""),"",IF(OR(COUNTIF(D8,"1.*"),COUNTIF(D8,"2.*"),COUNTIF(D8,"3.*"),COUNTIF(D8,"7.*")),IF(COUNTIF(K6,"*Younger*"),100%-8%-(J6*0.4%),IF(100%-8%+(J6*0.4%)&gt;100%,100%,100%-8%+(J6*0.4%))),IF(OR(COUNTIF(D8,"4.*"),COUNTIF(D8,"8.*")),IF(COUNTIF(K6,"*Younger*"),100%-18%-(J6*0.4%),IF(100%-18%+(J6*0.4%)&gt;100%,100%,100%-18%+(J6*0.4%))),"")))</f>
        <v>0.78800000000000003</v>
      </c>
      <c r="K20" s="31" t="str">
        <f>IF(COUNTIF(C7,""),"",IF(COUNTIF(D8,"1.*"),(H27*J20),IF(COUNTIF(D8,"2.*"),(H11+H16+H19)*J20,IF(COUNTIF(D8,"3.*"),(H11+H14+H17)*J20,IF(COUNTIF(D8,"7.*"),(H11+H14+H19)*J20,"")))))</f>
        <v/>
      </c>
      <c r="L20" s="5" t="str">
        <f>IF(COUNTIF(C7,""),"",IF(OR(COUNTIF(D8,"1.*"),COUNTIF(D8,"2.*"),COUNTIF(D8,"3.*"),COUNTIF(D8,"7.*")),K20*I20,""))</f>
        <v/>
      </c>
    </row>
    <row r="21" spans="1:12" ht="14.25" thickBot="1" x14ac:dyDescent="0.3">
      <c r="A21" s="38"/>
      <c r="B21" s="31">
        <v>125</v>
      </c>
      <c r="C21" s="5">
        <f>A21*B21</f>
        <v>0</v>
      </c>
      <c r="D21" s="101" t="str">
        <f>IF(COUNTIF(D8,"1.*"),"Member Early Retirement Pension Amount",IF(COUNTIF(D8,"2.*"),"Member Regular Retirement Pension at 62 Amount",IF(COUNTIF(D8,"3.*"),"Member Regular at 62 &amp; Early Retirement Pension Amount",IF(COUNTIF(D8,"4.*"),"Member Regular Retirement at 62 &amp; Disability Pension Amount",IF(COUNTIF(D8,"5.*"),"Member Regular Retirement Pension at 65 Amount",IF(COUNTIF(D8,"6.*"),"Member Disability Pension Amount",IF(COUNTIF(D8,"7.*"),"Member Pre-Age 55 Service",IF(COUNTIF(D8,"8.*"),"Member Pre-Age 55 Service &amp; Disability Pension Amount",IF(COUNTIF(D8,"9.*"),"Member  Service Pension Amount","")))))))))</f>
        <v>Member Pre-Age 55 Service &amp; Disability Pension Amount</v>
      </c>
      <c r="E21" s="101"/>
      <c r="F21" s="101"/>
      <c r="G21" s="101"/>
      <c r="H21" s="100">
        <f>IF(COUNTIF(D8,"1.*"),SUM(H13,H16,H19),IF(COUNTIF(D8,"2.*"),H11,IF(COUNTIF(D8,"3.*"),SUM(H11,H16,H19),IF(COUNTIF(D8,"4.*"),SUM(H11,H14,H17),IF(COUNTIF(D8,"5.*"),SUM(H11,H14,H17),IF(COUNTIF(D8,"6.*"),SUM(H11,H14,H17),IF(COUNTIF(D8,"7.*"),SUM(H11,H14),IF(COUNTIF(D8,"8.*"),SUM(H11,H14,H17),IF(COUNTIF(D8,"9.*"),SUM(H11,H14,H17),"")))))))))</f>
        <v>876</v>
      </c>
      <c r="I21" s="6" t="str">
        <f>IF(COUNTIF(C7,""),"",IF(OR(COUNTIF(D8,"1.*"),COUNTIF(D8,"2.*"),COUNTIF(D8,"3.*"),COUNTIF(D8,"7.*"),COUNTIF(D8,"8.*")),"13th Check",""))</f>
        <v>13th Check</v>
      </c>
      <c r="J21" s="102">
        <f>IF(COUNTIF(C7,""),"",IF(OR(COUNTIF(D8,"1.*"),COUNTIF(D8,"2.*"),COUNTIF(D8,"3.*"),COUNTIF(D8,"7.*")),IF(COUNTIF(K6,"*Younger*"),100%-8%-(J6*0.4%),IF(100%-8%+(J6*0.4%)&gt;100%,100%,100%-8%+(J6*0.4%))),IF(OR(COUNTIF(D8,"4.*"),COUNTIF(D8,"8.*")),IF(COUNTIF(K6,"*Younger*"),100%-18%-(J6*0.4%),IF(100%-18%+(J6*0.4%)&gt;100%,100%,100%-18%+(J6*0.4%))),"")))</f>
        <v>0.78800000000000003</v>
      </c>
      <c r="K21" s="31" t="str">
        <f>IF(COUNTIF(C7,""),"",IF(COUNTIF(D8,"1.*"),(H27*J21),IF(COUNTIF(D8,"2.*"),(H11+H16+H19)*J21,IF(COUNTIF(D8,"3.*"),(H11+H14+H17)*J21,IF(COUNTIF(D8,"7.*"),(H11+H14+H19)*J21,"")))))</f>
        <v/>
      </c>
      <c r="L21" s="5" t="str">
        <f>IF(COUNTIF(C7,""),"",IF(OR(COUNTIF(D8,"1.*"),COUNTIF(D8,"2.*"),COUNTIF(D8,"3.*"),COUNTIF(D8,"7.*")),K21*I20,""))</f>
        <v/>
      </c>
    </row>
    <row r="22" spans="1:12" ht="14.25" thickBot="1" x14ac:dyDescent="0.3">
      <c r="A22" s="24">
        <f>SUM(A20:A21)</f>
        <v>0</v>
      </c>
      <c r="B22" s="25" t="s">
        <v>11</v>
      </c>
      <c r="C22" s="26">
        <f>SUM(C20:C21)</f>
        <v>0</v>
      </c>
      <c r="D22" s="101" t="s">
        <v>88</v>
      </c>
      <c r="E22" s="101"/>
      <c r="F22" s="101"/>
      <c r="G22" s="101"/>
      <c r="H22" s="100">
        <f>IF(COUNTIF(D8,"1.*"),SUM(H13,H16,H19),IF(COUNTIF(D8,"2.*"),H11,IF(COUNTIF(D8,"3.*"),SUM(H11,H16,H19),IF(COUNTIF(D8,"4.*"),SUM(H11,H14,H17),IF(COUNTIF(D8,"5.*"),SUM(H11,H14,H17),IF(COUNTIF(D8,"6.*"),SUM(H11,H14,H17),IF(COUNTIF(D8,"7.*"),SUM(H11,H14),IF(COUNTIF(D8,"8.*"),SUM(H11,H14,H17),IF(COUNTIF(D8,"9.*"),SUM(H11,H14,H17),"")))))))))</f>
        <v>876</v>
      </c>
      <c r="I22" s="6" t="str">
        <f>IF(COUNTIF(C7,""),"",IF(OR(COUNTIF(D8,"1.*"),COUNTIF(D8,"2.*"),COUNTIF(D8,"3.*"),COUNTIF(D8,"7.*"),COUNTIF(D8,"8.*")),"75%",""))</f>
        <v>75%</v>
      </c>
      <c r="J22" s="104">
        <f>IF(COUNTIF(C7,""),"",IF(OR(COUNTIF(D8,"1.*"),COUNTIF(D8,"2.*"),COUNTIF(D8,"3.*"),COUNTIF(D8,"7.*")),IF(COUNTIF(K6,"*Younger*"),100%-12%-(J6*0.4%),IF(100%-12%+(J6*0.4%)&gt;100%,100%,100%-12%+(J6*0.4%))),IF(OR(COUNTIF(D8,"4.*"),COUNTIF(D8,"8.*")),IF(COUNTIF(K6,"*Younger*"),100%-24%-(J6*0.4%),IF(100%-24%+(J6*0.4%)&gt;100%,100%,100%-24%+(J6*0.4%))),"")))</f>
        <v>0.72799999999999998</v>
      </c>
      <c r="K22" s="31" t="str">
        <f>IF(COUNTIF(C7,""),"",IF(COUNTIF(D8,"1.*"),(H27*J22),IF(COUNTIF(D8,"2.*"),(H11+H16+H19)*J22,IF(COUNTIF(D8,"3.*"),(H11+H14+H17)*J22,IF(COUNTIF(D8,"7.*"),(H11+H14+H19)*J22,"")))))</f>
        <v/>
      </c>
      <c r="L22" s="5" t="str">
        <f>IF(COUNTIF(C7,""),"",IF(OR(COUNTIF(D8,"1.*"),COUNTIF(D8,"2.*"),COUNTIF(D8,"3.*"),COUNTIF(D8,"7.*")),K22*I22,""))</f>
        <v/>
      </c>
    </row>
    <row r="23" spans="1:12" ht="15" customHeight="1" thickBot="1" x14ac:dyDescent="0.3">
      <c r="A23" s="536" t="s">
        <v>13</v>
      </c>
      <c r="B23" s="537"/>
      <c r="C23" s="538"/>
      <c r="I23" s="16" t="str">
        <f>IF(COUNTIF(C7,""),"",IF(OR(COUNTIF(D8,"1.*"),COUNTIF(D8,"2.*"),COUNTIF(D8,"3.*"),COUNTIF(D8,"7.*"),COUNTIF(D8,"8.*")),"13th Check",""))</f>
        <v>13th Check</v>
      </c>
      <c r="J23" s="102">
        <f>IF(COUNTIF(C7,""),"",IF(OR(COUNTIF(D8,"1.*"),COUNTIF(D8,"2.*"),COUNTIF(D8,"3.*"),COUNTIF(D8,"7.*")),IF(COUNTIF(K6,"*Younger*"),100%-12%-(J6*0.4%),IF(100%-12%+(J6*0.4%)&gt;100%,100%,100%-12%+(J6*0.4%))),IF(OR(COUNTIF(D8,"4.*"),COUNTIF(D8,"8.*")),IF(COUNTIF(K6,"*Younger*"),100%-24%-(J6*0.4%),IF(100%-24%+(J6*0.4%)&gt;100%,100%,100%-24%+(J6*0.4%))),"")))</f>
        <v>0.72799999999999998</v>
      </c>
      <c r="K23" s="31" t="str">
        <f>IF(COUNTIF(C7,""),"",IF(COUNTIF(D8,"1.*"),(H27*J23),IF(COUNTIF(D8,"2.*"),(H11+H16+H19)*J23,IF(COUNTIF(D8,"3.*"),(H11+H14+H17)*J23,IF(COUNTIF(D8,"7.*"),(H11+H14+H19)*J23,"")))))</f>
        <v/>
      </c>
      <c r="L23" s="5" t="str">
        <f>IF(COUNTIF(C7,""),"",IF(OR(COUNTIF(D8,"1.*"),COUNTIF(D8,"2.*"),COUNTIF(D8,"3.*"),COUNTIF(D8,"7.*")),K23*I22,""))</f>
        <v/>
      </c>
    </row>
    <row r="24" spans="1:12" x14ac:dyDescent="0.25">
      <c r="A24" s="38"/>
      <c r="B24" s="31">
        <v>105</v>
      </c>
      <c r="C24" s="5">
        <f t="shared" ref="C24:C29" si="1">A24*B24</f>
        <v>0</v>
      </c>
      <c r="D24" s="101" t="str">
        <f>IF(COUNTIF(D8,"2.*"),"Member Regular Retirement Pension at 62 with Early",IF(COUNTIF(D8,"7.*"),"Member Service Pension Pre-Age 55 with Early",""))</f>
        <v/>
      </c>
      <c r="E24" s="101"/>
      <c r="F24" s="101"/>
      <c r="G24" s="101"/>
      <c r="H24" s="100" t="str">
        <f>IF(COUNTIF(D8,"2.*"),H11+H16+H19,IF(COUNTIF(D8,"7.*"),H11+H14+H19,""))</f>
        <v/>
      </c>
      <c r="I24" s="6" t="str">
        <f>IF(COUNTIF(C7,""),"",IF(OR(COUNTIF(D8,"1.*"),COUNTIF(D8,"2.*"),COUNTIF(D8,"3.*"),COUNTIF(D8,"7.*"),COUNTIF(D8,"8.*")),"100%",""))</f>
        <v>100%</v>
      </c>
      <c r="J24" s="102">
        <f>IF(COUNTIF(C7,""),"",IF(OR(COUNTIF(D8,"1.*"),COUNTIF(D8,"2.*"),COUNTIF(D8,"3.*"),COUNTIF(D8,"7.*")),IF(COUNTIF(K6,"*Younger*"),100%-15%-(J6*0.5%),IF(100%-15%+(J6*0.5%)&gt;100%,100%,100%-15%+(J6*0.5%))),IF(OR(COUNTIF(D8,"4.*"),COUNTIF(D8,"8.*")),IF(COUNTIF(K6,"*Younger*"),100%-30%-(J6*0.5%),IF(100%-30%+(J6*0.5%)&gt;100%,100%,100%-30%+(J6*0.5%))),"")))</f>
        <v>0.65999999999999992</v>
      </c>
      <c r="K24" s="31" t="str">
        <f>IF(COUNTIF(C7,""),"",IF(COUNTIF(D8,"1.*"),(H27*J24),IF(COUNTIF(D8,"2.*"),(H11+H16+H19)*J24,IF(COUNTIF(D8,"3.*"),(H11+H14+H17)*J24,IF(COUNTIF(D8,"7.*"),(H11+H14+H19)*J24,"")))))</f>
        <v/>
      </c>
      <c r="L24" s="5" t="str">
        <f>IF(COUNTIF(C7,""),"",IF(OR(COUNTIF(D8,"1.*"),COUNTIF(D8,"2.*"),COUNTIF(D8,"3.*"),COUNTIF(D8,"7.*")),K24*I24,""))</f>
        <v/>
      </c>
    </row>
    <row r="25" spans="1:12" ht="14.25" thickBot="1" x14ac:dyDescent="0.3">
      <c r="A25" s="38"/>
      <c r="B25" s="31">
        <v>125</v>
      </c>
      <c r="C25" s="5">
        <f t="shared" si="1"/>
        <v>0</v>
      </c>
      <c r="D25" s="101" t="str">
        <f>IF(OR(COUNTIF(D8,"2.*"),COUNTIF(D8,"7.*")),"Member 13th Check","")</f>
        <v/>
      </c>
      <c r="E25" s="101"/>
      <c r="F25" s="101"/>
      <c r="G25" s="101"/>
      <c r="H25" s="100" t="str">
        <f>IF(COUNTIF(D8,"2.*"),H11+H16+H19,IF(COUNTIF(D8,"7.*"),H11+H14+H19,""))</f>
        <v/>
      </c>
      <c r="I25" s="106" t="str">
        <f>IF(COUNTIF(C7,""),"",IF(OR(COUNTIF(D8,"1.*"),COUNTIF(D8,"2.*"),COUNTIF(D8,"3.*"),COUNTIF(D8,"7.*"),COUNTIF(D8,"8.*")),"13th Check",""))</f>
        <v>13th Check</v>
      </c>
      <c r="J25" s="105">
        <f>IF(COUNTIF(C7,""),"",IF(OR(COUNTIF(D8,"1.*"),COUNTIF(D8,"2.*"),COUNTIF(D8,"3.*"),COUNTIF(D8,"7.*")),IF(COUNTIF(K6,"*Younger*"),100%-15%-(J6*0.5%),IF(100%-15%+(J6*0.5%)&gt;100%,100%,100%-15%+(J6*0.5%))),IF(OR(COUNTIF(D8,"4.*"),COUNTIF(D8,"8.*")),IF(COUNTIF(K6,"*Younger*"),100%-30%-(J6*0.5%),IF(100%-30%+(J6*0.5%)&gt;100%,100%,100%-30%+(J6*0.5%))),"")))</f>
        <v>0.65999999999999992</v>
      </c>
      <c r="K25" s="92" t="str">
        <f>IF(COUNTIF(C7,""),"",IF(COUNTIF(D8,"1.*"),(H27*J25),IF(COUNTIF(D8,"2.*"),(H11+H16+H19)*J25,IF(COUNTIF(D8,"3.*"),(H11+H14+H17)*J25,IF(COUNTIF(D8,"7.*"),(H11+H14+H19)*J25,"")))))</f>
        <v/>
      </c>
      <c r="L25" s="85" t="str">
        <f>IF(COUNTIF(C7,""),"",IF(OR(COUNTIF(D8,"1.*"),COUNTIF(D8,"2.*"),COUNTIF(D8,"3.*"),COUNTIF(D8,"7.*")),K25*I24,""))</f>
        <v/>
      </c>
    </row>
    <row r="26" spans="1:12" ht="14.25" thickBot="1" x14ac:dyDescent="0.3">
      <c r="A26" s="38"/>
      <c r="B26" s="31">
        <v>135</v>
      </c>
      <c r="C26" s="5">
        <f t="shared" si="1"/>
        <v>0</v>
      </c>
    </row>
    <row r="27" spans="1:12" ht="14.25" thickBot="1" x14ac:dyDescent="0.3">
      <c r="A27" s="38"/>
      <c r="B27" s="229"/>
      <c r="C27" s="5">
        <f t="shared" si="1"/>
        <v>0</v>
      </c>
      <c r="D27" s="101" t="str">
        <f>IF(OR(COUNTIF(D8,"1.*"),COUNTIF(D8,"2.*"),COUNTIF(D8,"3.*"),COUNTIF(D8,"7.*")),"Member Benefit Deferred at Age 65","")</f>
        <v/>
      </c>
      <c r="H27" s="100" t="str">
        <f>IF(OR(COUNTIF(D8,"1.*"),COUNTIF(D8,"2.*"),COUNTIF(D8,"3.*"),COUNTIF(D8,"7.*")),SUM(H11,H14,H17),"")</f>
        <v/>
      </c>
      <c r="I27" s="540" t="str">
        <f>IF(COUNTIF(C7,""),"",IF(OR(COUNTIF(D8,"2.*"),COUNTIF(D8,"7.*")),"Pension Benefit Deferred at Age 65 H&amp;W Options",IF(COUNTIF(D8,"4.*"),"Regular at 62 &amp; Disability H&amp;W Combined Pension Options",IF(COUNTIF(D8,"8.*"),"Service Pre-Age 55 &amp; Disability H&amp;W Combined Pension Options",""))))</f>
        <v>Service Pre-Age 55 &amp; Disability H&amp;W Combined Pension Options</v>
      </c>
      <c r="J27" s="541"/>
      <c r="K27" s="541"/>
      <c r="L27" s="542"/>
    </row>
    <row r="28" spans="1:12" ht="15.75" customHeight="1" x14ac:dyDescent="0.25">
      <c r="A28" s="38"/>
      <c r="B28" s="229"/>
      <c r="C28" s="5">
        <f t="shared" si="1"/>
        <v>0</v>
      </c>
      <c r="D28" s="101" t="str">
        <f>IF(OR(COUNTIF(D8,"1.*"),COUNTIF(D8,"2.*"),COUNTIF(D8,"3.*"),COUNTIF(D8,"7.*")),"Member 13th Check","")</f>
        <v/>
      </c>
      <c r="H28" s="100" t="str">
        <f>IF(OR(COUNTIF(D8,"1.*"),COUNTIF(D8,"2.*"),COUNTIF(D8,"3.*"),COUNTIF(D8,"7.*")),SUM(H11,H14,H17),"")</f>
        <v/>
      </c>
      <c r="I28" s="79" t="str">
        <f>IF(COUNTIF(C7,""),"",IF(OR(COUNTIF(D8,"2.*"),COUNTIF(D8,"7.*"),COUNTIF(D8,"8.*")),"Option",""))</f>
        <v>Option</v>
      </c>
      <c r="J28" s="80" t="str">
        <f>IF(COUNTIF(C7,""),"",IF(OR(COUNTIF(D8,"2.*"),COUNTIF(D8,"7.*"),COUNTIF(D8,"8.*")),"Factor",""))</f>
        <v>Factor</v>
      </c>
      <c r="K28" s="80" t="str">
        <f>IF(COUNTIF(C7,""),"",IF(OR(COUNTIF(D8,"2.*"),COUNTIF(D8,"7.*"),COUNTIF(D8,"8.*")),"Member Benefit",""))</f>
        <v>Member Benefit</v>
      </c>
      <c r="L28" s="81" t="str">
        <f>IF(COUNTIF(C7,""),"",IF(OR(COUNTIF(D8,"2.*"),COUNTIF(D8,"7.*"),COUNTIF(D8,"8.*")),"Spouse Benefit",""))</f>
        <v>Spouse Benefit</v>
      </c>
    </row>
    <row r="29" spans="1:12" ht="14.25" thickBot="1" x14ac:dyDescent="0.3">
      <c r="A29" s="38"/>
      <c r="B29" s="229"/>
      <c r="C29" s="5">
        <f t="shared" si="1"/>
        <v>0</v>
      </c>
      <c r="I29" s="16" t="str">
        <f>IF(COUNTIF(C7,""),"",IF(OR(COUNTIF(D8,"2.*"),COUNTIF(D8,"7.*"),COUNTIF(D8,"8.*")),"50%",""))</f>
        <v>50%</v>
      </c>
      <c r="J29" s="102" t="str">
        <f>IF(COUNTIF(C7,""),"",IF(OR(COUNTIF(D8,"2.*"),COUNTIF(D8,"7.*")),IF(COUNTIF(K6,"*Younger*"),100%-8%-(J6*0.4%),IF(100%-8%+(J6*0.4%)&gt;100%,100%,100%-8%+(J6*0.4%))),""))</f>
        <v/>
      </c>
      <c r="K29" s="31" t="str">
        <f>IF(COUNTIF(C7,""),"",IF(OR(COUNTIF(D8,"2.*"),COUNTIF(D8,"7.*")),((H11+H14+H17)*J29),""))</f>
        <v/>
      </c>
      <c r="L29" s="5" t="str">
        <f>IF(COUNTIF(C7,""),"",IF(OR(COUNTIF(D8,"2.*"),COUNTIF(D8,"7.*")),K29*I29,""))</f>
        <v/>
      </c>
    </row>
    <row r="30" spans="1:12" ht="14.25" thickBot="1" x14ac:dyDescent="0.3">
      <c r="A30" s="24">
        <f>SUM(A24:A29)</f>
        <v>0</v>
      </c>
      <c r="B30" s="23" t="s">
        <v>11</v>
      </c>
      <c r="C30" s="26">
        <f>SUM(C24:C29)</f>
        <v>0</v>
      </c>
      <c r="D30" s="77"/>
      <c r="H30" s="3"/>
      <c r="I30" s="6" t="str">
        <f>IF(COUNTIF(C7,""),"",IF(OR(COUNTIF(D8,"2.*"),COUNTIF(D8,"7.*"),COUNTIF(D8,"8.*")),"13th Check",""))</f>
        <v>13th Check</v>
      </c>
      <c r="J30" s="102" t="str">
        <f>IF(COUNTIF(C7,""),"",IF(OR(COUNTIF(D8,"2.*"),COUNTIF(D8,"7.*")),IF(COUNTIF(K6,"*Younger*"),100%-8%-(J6*0.4%),IF(100%-8%+(J6*0.4%)&gt;100%,100%,100%-8%+(J6*0.4%))),""))</f>
        <v/>
      </c>
      <c r="K30" s="31" t="str">
        <f>IF(COUNTIF(C7,""),"",IF(OR(COUNTIF(D8,"2.*"),COUNTIF(D8,"7.*")),((H11+H14+H17)*J30),""))</f>
        <v/>
      </c>
      <c r="L30" s="5" t="str">
        <f>IF(COUNTIF(C7,""),"",IF(OR(COUNTIF(D8,"2.*"),COUNTIF(D8,"7.*")),K30*I29,""))</f>
        <v/>
      </c>
    </row>
    <row r="31" spans="1:12" ht="15.75" customHeight="1" thickBot="1" x14ac:dyDescent="0.3">
      <c r="A31" s="24">
        <f>SUM(A18,A22,A30)</f>
        <v>7.33</v>
      </c>
      <c r="B31" s="28" t="s">
        <v>37</v>
      </c>
      <c r="C31" s="26">
        <f>SUM(C18,C22,C30)</f>
        <v>876</v>
      </c>
      <c r="D31" s="77"/>
      <c r="H31" s="3"/>
      <c r="I31" s="16" t="str">
        <f>IF(COUNTIF(C7,""),"",IF(OR(COUNTIF(D8,"2.*"),COUNTIF(D8,"7.*"),COUNTIF(D8,"8.*")),"75%",""))</f>
        <v>75%</v>
      </c>
      <c r="J31" s="102" t="str">
        <f>IF(COUNTIF(C7,""),"",IF(OR(COUNTIF(D8,"2.*"),COUNTIF(D8,"7.*")),IF(COUNTIF(K6,"*Younger*"),100%-12%-(J6*0.4%),IF(100%-12%+(J6*0.4%)&gt;100%,100%,100%-12%+(J6*0.4%))),""))</f>
        <v/>
      </c>
      <c r="K31" s="31" t="str">
        <f>IF(COUNTIF(C7,""),"",IF(OR(COUNTIF(D8,"2.*"),COUNTIF(D8,"7.*")),((H11+H14+H17)*J31),""))</f>
        <v/>
      </c>
      <c r="L31" s="5" t="str">
        <f>IF(COUNTIF(C7,""),"",IF(OR(COUNTIF(D8,"2.*"),COUNTIF(D8,"7.*")),K31*I31,""))</f>
        <v/>
      </c>
    </row>
    <row r="32" spans="1:12" x14ac:dyDescent="0.25">
      <c r="I32" s="6" t="str">
        <f>IF(COUNTIF(C7,""),"",IF(OR(COUNTIF(D8,"2.*"),COUNTIF(D8,"7.*"),COUNTIF(D8,"8.*")),"13th Check",""))</f>
        <v>13th Check</v>
      </c>
      <c r="J32" s="102" t="str">
        <f>IF(COUNTIF(C7,""),"",IF(OR(COUNTIF(D8,"2.*"),COUNTIF(D8,"7.*")),IF(COUNTIF(K6,"*Younger*"),100%-12%-(J6*0.4%),IF(100%-12%+(J6*0.4%)&gt;100%,100%,100%-12%+(J6*0.4%))),""))</f>
        <v/>
      </c>
      <c r="K32" s="31" t="str">
        <f>IF(COUNTIF(C7,""),"",IF(OR(COUNTIF(D8,"2.*"),COUNTIF(D8,"7.*")),((H11+H14+H17)*J32),""))</f>
        <v/>
      </c>
      <c r="L32" s="5" t="str">
        <f>IF(COUNTIF(C7,""),"",IF(OR(COUNTIF(D8,"2.*"),COUNTIF(D8,"7.*")),K32*I31,""))</f>
        <v/>
      </c>
    </row>
    <row r="33" spans="1:12" ht="15.75" customHeight="1" x14ac:dyDescent="0.25">
      <c r="I33" s="16" t="str">
        <f>IF(COUNTIF(C7,""),"",IF(OR(COUNTIF(D8,"2.*"),COUNTIF(D8,"7.*"),COUNTIF(D8,"8.*")),"100%",""))</f>
        <v>100%</v>
      </c>
      <c r="J33" s="102" t="str">
        <f>IF(COUNTIF(C7,""),"",IF(OR(COUNTIF(D8,"2.*"),COUNTIF(D8,"7.*")),IF(COUNTIF(K6,"*Younger*"),100%-15%-(J6*0.5%),IF(100%-15%+(J6*0.5%)&gt;100%,100%,100%-15%+(J6*0.5%))),""))</f>
        <v/>
      </c>
      <c r="K33" s="31" t="str">
        <f>IF(COUNTIF(C7,""),"",IF(OR(COUNTIF(D8,"2.*"),COUNTIF(D8,"7.*")),((H11+H14+H17)*J33),""))</f>
        <v/>
      </c>
      <c r="L33" s="5" t="str">
        <f>IF(COUNTIF(C7,""),"",IF(OR(COUNTIF(D8,"2.*"),COUNTIF(D8,"7.*")),K33*I33,""))</f>
        <v/>
      </c>
    </row>
    <row r="34" spans="1:12" ht="14.25" thickBot="1" x14ac:dyDescent="0.3">
      <c r="A34" s="1" t="s">
        <v>30</v>
      </c>
      <c r="B34" s="109" t="s">
        <v>102</v>
      </c>
      <c r="C34" s="78"/>
      <c r="D34" s="78"/>
      <c r="E34" s="1" t="s">
        <v>31</v>
      </c>
      <c r="F34" s="109" t="s">
        <v>102</v>
      </c>
      <c r="G34" s="78"/>
      <c r="H34" s="93"/>
      <c r="I34" s="18" t="str">
        <f>IF(COUNTIF(C7,""),"",IF(OR(COUNTIF(D8,"2.*"),COUNTIF(D8,"7.*"),COUNTIF(D8,"8.*")),"13th Check",""))</f>
        <v>13th Check</v>
      </c>
      <c r="J34" s="105" t="str">
        <f>IF(COUNTIF(C7,""),"",IF(OR(COUNTIF(D8,"2.*"),COUNTIF(D8,"7.*")),IF(COUNTIF(K6,"*Younger*"),100%-15%-(J6*0.5%),IF(100%-15%+(J6*0.5%)&gt;100%,100%,100%-15%+(J6*0.5%))),""))</f>
        <v/>
      </c>
      <c r="K34" s="92" t="str">
        <f>IF(COUNTIF(C7,""),"",IF(OR(COUNTIF(D8,"2.*"),COUNTIF(D8,"7.*")),((H11+H14+H17)*J34),""))</f>
        <v/>
      </c>
      <c r="L34" s="85" t="str">
        <f>IF(COUNTIF(C7,""),"",IF(OR(COUNTIF(D8,"2.*"),COUNTIF(D8,"7.*")),K34*I33,""))</f>
        <v/>
      </c>
    </row>
    <row r="36" spans="1:12" x14ac:dyDescent="0.25">
      <c r="A36" s="1" t="s">
        <v>92</v>
      </c>
      <c r="B36" s="108">
        <f ca="1">TODAY()</f>
        <v>46164</v>
      </c>
      <c r="C36" s="78"/>
      <c r="D36" s="78"/>
      <c r="E36" s="1" t="s">
        <v>92</v>
      </c>
      <c r="F36" s="108">
        <f ca="1">TODAY()</f>
        <v>46164</v>
      </c>
      <c r="G36" s="78"/>
      <c r="H36" s="78"/>
    </row>
  </sheetData>
  <mergeCells count="27">
    <mergeCell ref="A9:C9"/>
    <mergeCell ref="A19:C19"/>
    <mergeCell ref="A23:C23"/>
    <mergeCell ref="D16:G16"/>
    <mergeCell ref="D17:F17"/>
    <mergeCell ref="D19:G19"/>
    <mergeCell ref="D9:H9"/>
    <mergeCell ref="D14:F14"/>
    <mergeCell ref="I9:L9"/>
    <mergeCell ref="D10:G10"/>
    <mergeCell ref="D11:F11"/>
    <mergeCell ref="I27:L27"/>
    <mergeCell ref="D13:G13"/>
    <mergeCell ref="I18:L18"/>
    <mergeCell ref="A8:B8"/>
    <mergeCell ref="A1:L1"/>
    <mergeCell ref="A2:B2"/>
    <mergeCell ref="C2:E2"/>
    <mergeCell ref="I2:J2"/>
    <mergeCell ref="A3:B3"/>
    <mergeCell ref="A4:B4"/>
    <mergeCell ref="A5:B5"/>
    <mergeCell ref="A6:B6"/>
    <mergeCell ref="C6:E6"/>
    <mergeCell ref="G6:I6"/>
    <mergeCell ref="A7:B7"/>
    <mergeCell ref="D8:H8"/>
  </mergeCells>
  <dataValidations count="1">
    <dataValidation type="list" allowBlank="1" showInputMessage="1" showErrorMessage="1" promptTitle="Pension Type" sqref="D8:H8" xr:uid="{F8A0D307-4374-42E6-9E8B-1C421C86739B}">
      <formula1>"1. Early Retirement Pension, 2. Regular at 62, 3. Regular at 62 &amp; Early, 4. Regular at 62 &amp; Disability, 5. Regular at 65, 6. Disability Pension, 7. Service Pension Pre-Age 55, 8. Service Pension Pre-Age 55 &amp; Disability Pension, 9. Service Pension"</formula1>
    </dataValidation>
  </dataValidations>
  <pageMargins left="0.7" right="0.7" top="0.75" bottom="0.75" header="0.3" footer="0.3"/>
  <pageSetup scale="85" orientation="landscape" r:id="rId1"/>
  <colBreaks count="1" manualBreakCount="1">
    <brk id="12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E698F-90BF-436B-91B4-D91C43776C62}">
  <sheetPr>
    <pageSetUpPr fitToPage="1"/>
  </sheetPr>
  <dimension ref="A1:X40"/>
  <sheetViews>
    <sheetView zoomScaleNormal="100" workbookViewId="0">
      <selection activeCell="C2" sqref="C2:E2"/>
    </sheetView>
  </sheetViews>
  <sheetFormatPr defaultColWidth="9.140625" defaultRowHeight="13.5" x14ac:dyDescent="0.25"/>
  <cols>
    <col min="1" max="1" width="12" style="1" customWidth="1"/>
    <col min="2" max="2" width="9.42578125" style="1" customWidth="1"/>
    <col min="3" max="3" width="10.5703125" style="1" customWidth="1"/>
    <col min="4" max="4" width="10.7109375" style="1" customWidth="1"/>
    <col min="5" max="5" width="10.140625" style="1" bestFit="1" customWidth="1"/>
    <col min="6" max="6" width="18.7109375" style="1" customWidth="1"/>
    <col min="7" max="7" width="11" style="1" customWidth="1"/>
    <col min="8" max="8" width="10" style="1" customWidth="1"/>
    <col min="9" max="9" width="11.28515625" style="1" customWidth="1"/>
    <col min="10" max="10" width="6.85546875" style="1" bestFit="1" customWidth="1"/>
    <col min="11" max="11" width="13" style="1" bestFit="1" customWidth="1"/>
    <col min="12" max="12" width="13.5703125" style="1" customWidth="1"/>
    <col min="13" max="13" width="33.7109375" style="1" customWidth="1"/>
    <col min="14" max="14" width="9.140625" style="1"/>
    <col min="15" max="15" width="14.7109375" style="1" customWidth="1"/>
    <col min="16" max="16384" width="9.140625" style="1"/>
  </cols>
  <sheetData>
    <row r="1" spans="1:24" x14ac:dyDescent="0.25">
      <c r="A1" s="531" t="s">
        <v>100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 t="s">
        <v>216</v>
      </c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</row>
    <row r="2" spans="1:24" x14ac:dyDescent="0.25">
      <c r="A2" s="539" t="s">
        <v>1</v>
      </c>
      <c r="B2" s="539"/>
      <c r="C2" s="548" t="s">
        <v>426</v>
      </c>
      <c r="D2" s="548"/>
      <c r="E2" s="548"/>
      <c r="H2" s="1" t="s">
        <v>0</v>
      </c>
      <c r="I2" s="543" t="s">
        <v>427</v>
      </c>
      <c r="J2" s="543"/>
    </row>
    <row r="3" spans="1:24" x14ac:dyDescent="0.25">
      <c r="A3" s="539" t="s">
        <v>6</v>
      </c>
      <c r="B3" s="539"/>
      <c r="C3" s="227">
        <v>32593</v>
      </c>
    </row>
    <row r="4" spans="1:24" x14ac:dyDescent="0.25">
      <c r="A4" s="547" t="s">
        <v>2</v>
      </c>
      <c r="B4" s="547"/>
      <c r="C4" s="20" t="str">
        <f>DATEDIF(C3,C5,"y")&amp;"/"&amp;(DATEDIF(C3,C5, "m") - (DATEDIF(C3,C5, "y") * 12))</f>
        <v>65/0</v>
      </c>
    </row>
    <row r="5" spans="1:24" x14ac:dyDescent="0.25">
      <c r="A5" s="539" t="s">
        <v>7</v>
      </c>
      <c r="B5" s="539"/>
      <c r="C5" s="227">
        <v>56340</v>
      </c>
    </row>
    <row r="6" spans="1:24" x14ac:dyDescent="0.25">
      <c r="A6" s="539" t="s">
        <v>3</v>
      </c>
      <c r="B6" s="539"/>
      <c r="C6" s="543" t="s">
        <v>428</v>
      </c>
      <c r="D6" s="543"/>
      <c r="E6" s="543"/>
      <c r="G6" s="539" t="str">
        <f>IF(COUNTIF(C7,""),"","Spouse Age Difference from Member:")</f>
        <v>Spouse Age Difference from Member:</v>
      </c>
      <c r="H6" s="539"/>
      <c r="I6" s="539"/>
      <c r="J6" s="12">
        <f>IF(C7=0,"",IF(AND(C3-C7&lt;0,(DATEDIF(C3,C5,"m")-(DATEDIF(C3,C5,"y")*12))-(DATEDIF(C7,C5,"m")-(DATEDIF(C7,C5,"y")*12))=0),DATEDIF(C3,C5,"y")-DATEDIF(C7,C5,"y"),IF(AND(C3-C7&gt;0,(DATEDIF(C7,C5,"m")-(DATEDIF(C7,C5,"y")*12))-(DATEDIF(C3,C5,"m")-(DATEDIF(C3,C5,"y")*12))=0),DATEDIF(C7,C5,"y")-DATEDIF(C3,C5,"y"),IF(C3-C7&lt;0,ROUNDDOWN(YEARFRAC(C3,C7),0),IF(C3-C7&gt;0,ROUNDDOWN(YEARFRAC(C7,C3),0),0)))))</f>
        <v>2</v>
      </c>
      <c r="K6" s="1" t="str">
        <f>IF(C7=0,"",IF(J6=0,"No Difference.",IF(C3-C7&lt;0,"Year(s) Younger.", IF(C3-C7&gt;0, "Year(s) Older.","No Difference."))))</f>
        <v>Year(s) Younger.</v>
      </c>
    </row>
    <row r="7" spans="1:24" x14ac:dyDescent="0.25">
      <c r="A7" s="539" t="s">
        <v>5</v>
      </c>
      <c r="B7" s="539"/>
      <c r="C7" s="227">
        <v>33410</v>
      </c>
    </row>
    <row r="8" spans="1:24" ht="14.25" thickBot="1" x14ac:dyDescent="0.3">
      <c r="A8" s="539" t="str">
        <f>IF(COUNTIF(C7,""),"","Spouse Age at Retirement:")</f>
        <v>Spouse Age at Retirement:</v>
      </c>
      <c r="B8" s="539"/>
      <c r="C8" s="20" t="str">
        <f>IF(COUNTIF(C7,""),"",DATEDIF(C7,C5,"y")&amp;"/"&amp;(DATEDIF(C7,C5,"m")-(DATEDIF(C7,C5,"y")*12)))</f>
        <v>62/9</v>
      </c>
      <c r="D8" s="19"/>
      <c r="E8" s="19"/>
      <c r="F8" s="19"/>
      <c r="G8" s="19"/>
      <c r="H8" s="19"/>
    </row>
    <row r="9" spans="1:24" ht="15.75" customHeight="1" thickBot="1" x14ac:dyDescent="0.3">
      <c r="A9" s="532" t="s">
        <v>8</v>
      </c>
      <c r="B9" s="533"/>
      <c r="C9" s="534"/>
      <c r="D9" s="544" t="s">
        <v>99</v>
      </c>
      <c r="E9" s="544"/>
      <c r="F9" s="544"/>
      <c r="G9" s="544"/>
      <c r="H9" s="545"/>
      <c r="I9" s="540" t="str">
        <f>IF(COUNTIF(C7,""),"","Delayed 1 H&amp;W Pension Options")</f>
        <v>Delayed 1 H&amp;W Pension Options</v>
      </c>
      <c r="J9" s="541"/>
      <c r="K9" s="541"/>
      <c r="L9" s="542"/>
      <c r="M9" s="101" t="s">
        <v>42</v>
      </c>
      <c r="N9" s="101">
        <f>IF(MONTH(H18)&gt;5,YEAR(H18)+1,YEAR(H18))</f>
        <v>2054</v>
      </c>
    </row>
    <row r="10" spans="1:24" ht="14.25" thickBot="1" x14ac:dyDescent="0.3">
      <c r="A10" s="27" t="s">
        <v>35</v>
      </c>
      <c r="B10" s="28" t="s">
        <v>9</v>
      </c>
      <c r="C10" s="29" t="s">
        <v>10</v>
      </c>
      <c r="D10" s="546" t="s">
        <v>33</v>
      </c>
      <c r="E10" s="546"/>
      <c r="F10" s="546"/>
      <c r="G10" s="546"/>
      <c r="H10" s="21">
        <f>SUM(A11:A17,A20:A21,A24:A29,A33:A38)</f>
        <v>44.379999999999995</v>
      </c>
      <c r="I10" s="11" t="str">
        <f>IF(COUNTIF(C7,""),"","Option")</f>
        <v>Option</v>
      </c>
      <c r="J10" s="10" t="str">
        <f>IF(COUNTIF(C7,""),"","Factor")</f>
        <v>Factor</v>
      </c>
      <c r="K10" s="10" t="str">
        <f>IF(COUNTIF(C7,""),"","Member Benefit")</f>
        <v>Member Benefit</v>
      </c>
      <c r="L10" s="15" t="str">
        <f>IF(COUNTIF(C7,""),"","Spouse Benefit")</f>
        <v>Spouse Benefit</v>
      </c>
      <c r="M10" s="101" t="s">
        <v>220</v>
      </c>
      <c r="N10" s="101" t="s">
        <v>217</v>
      </c>
      <c r="O10" s="101" t="s">
        <v>219</v>
      </c>
    </row>
    <row r="11" spans="1:24" x14ac:dyDescent="0.25">
      <c r="A11" s="38"/>
      <c r="B11" s="229"/>
      <c r="C11" s="5">
        <f>A11*B11</f>
        <v>0</v>
      </c>
      <c r="D11" s="539" t="s">
        <v>15</v>
      </c>
      <c r="E11" s="539"/>
      <c r="F11" s="539"/>
      <c r="G11" s="21">
        <f>SUM(A11:A17)</f>
        <v>26.96</v>
      </c>
      <c r="H11" s="3">
        <f>SUM(C11:C17)</f>
        <v>3208.79</v>
      </c>
      <c r="I11" s="16" t="str">
        <f>IF(COUNTIF(C7,""),"","50%")</f>
        <v>50%</v>
      </c>
      <c r="J11" s="4">
        <f>IF(COUNTIF(C7,""),"",IF(COUNTIF(K6,"*Younger*"),100%-8%-(J6*0.4%),IF(100%-8%+(J6*0.4%)&gt;100%,100%,100%-8%+(J6*0.4%))))</f>
        <v>0.91200000000000003</v>
      </c>
      <c r="K11" s="31">
        <f>IF(COUNTIF(C7,""),"",(C18+C22+C30+C39)*J11)</f>
        <v>5031.6772799999999</v>
      </c>
      <c r="L11" s="5">
        <f>IF(COUNTIF(C7,""),"",K11*I11)</f>
        <v>2515.8386399999999</v>
      </c>
      <c r="M11" s="1" t="str">
        <f>IF(AND(MONTH(H18)=5,DAY(H18)&gt;1),"Member turned 65 in May",IF(AND(MONTH(H18)=5,DAY(H18)=1),"Member turned 65 at the start of May","May"))</f>
        <v>May</v>
      </c>
      <c r="N11" s="226">
        <v>125</v>
      </c>
      <c r="O11" s="1" t="str">
        <f>IF(N9=2015,ROUND(ROUNDDOWN((SUM(N11))/117,0)/12,2),"")</f>
        <v/>
      </c>
    </row>
    <row r="12" spans="1:24" x14ac:dyDescent="0.25">
      <c r="A12" s="38"/>
      <c r="B12" s="229"/>
      <c r="C12" s="5">
        <f t="shared" ref="C12:C17" si="0">A12*B12</f>
        <v>0</v>
      </c>
      <c r="H12" s="4"/>
      <c r="I12" s="6" t="str">
        <f>IF(COUNTIF(C7,""),"","13th Check")</f>
        <v>13th Check</v>
      </c>
      <c r="J12" s="4">
        <f>IF(COUNTIF(C7,""),"",IF(COUNTIF(K6,"*Younger*"),100%-8%-(J6*0.4%),IF(100%-8%+(J6*0.4%)&gt;100%,100%,100%-8%+(J6*0.4%))))</f>
        <v>0.91200000000000003</v>
      </c>
      <c r="K12" s="31">
        <f>IF(COUNTIF(C7,""),"",(C18+C22+C30+C39)*J12)</f>
        <v>5031.6772799999999</v>
      </c>
      <c r="L12" s="5">
        <f>IF(COUNTIF(C7,""),"",K12*I11)</f>
        <v>2515.8386399999999</v>
      </c>
      <c r="M12" s="1" t="str">
        <f>IF(AND(MONTH(H18)=4,DAY(H18)&gt;1),"Member turned 65 in April",IF(AND(MONTH(H18)=4,DAY(H18)=1),"Member turned 65 at the start April","April"))</f>
        <v>April</v>
      </c>
      <c r="N12" s="226">
        <v>125</v>
      </c>
      <c r="O12" s="1" t="str">
        <f>IF(N9=2015,ROUND(ROUNDDOWN((SUM(N11:N12))/117,0)/12,2),"")</f>
        <v/>
      </c>
    </row>
    <row r="13" spans="1:24" x14ac:dyDescent="0.25">
      <c r="A13" s="38"/>
      <c r="B13" s="229"/>
      <c r="C13" s="5">
        <f t="shared" si="0"/>
        <v>0</v>
      </c>
      <c r="D13" s="539" t="s">
        <v>98</v>
      </c>
      <c r="E13" s="539"/>
      <c r="F13" s="539"/>
      <c r="G13" s="21">
        <f>SUM(A20:A21)</f>
        <v>4.33</v>
      </c>
      <c r="H13" s="3">
        <f>SUM(C20:C21)</f>
        <v>541.25</v>
      </c>
      <c r="I13" s="16" t="str">
        <f>IF(COUNTIF(C7,""),"","75%")</f>
        <v>75%</v>
      </c>
      <c r="J13" s="4">
        <f>IF(COUNTIF(C7,""),"",IF(COUNTIF(K6,"*Younger*"),100%-12%-(J6*0.4%),IF(100%-12%+(J6*0.4%)&gt;100%,100%,100%-12%+(J6*0.4%))))</f>
        <v>0.872</v>
      </c>
      <c r="K13" s="31">
        <f>IF(COUNTIF(C7,""),"",(C18+C22+C30+C39)*J13)</f>
        <v>4810.9896799999997</v>
      </c>
      <c r="L13" s="5">
        <f>IF(COUNTIF(C7,""),"",K13*I13)</f>
        <v>3608.24226</v>
      </c>
      <c r="M13" s="1" t="str">
        <f>IF(AND(MONTH(H18)=3,DAY(H18)&gt;1),"Member turned 65 in March",IF(AND(MONTH(H18)=3,DAY(H18)=1),"Member turned 65 at the start of March","March"))</f>
        <v>Member turned 65 in March</v>
      </c>
      <c r="N13" s="226">
        <v>125</v>
      </c>
      <c r="O13" s="1" t="str">
        <f>IF(N9=2015,ROUND(ROUNDDOWN((SUM(N11:N13))/117,0)/12,2),"")</f>
        <v/>
      </c>
    </row>
    <row r="14" spans="1:24" x14ac:dyDescent="0.25">
      <c r="A14" s="38"/>
      <c r="B14" s="31">
        <v>50</v>
      </c>
      <c r="C14" s="5">
        <f t="shared" si="0"/>
        <v>0</v>
      </c>
      <c r="D14" s="2"/>
      <c r="E14" s="2"/>
      <c r="H14" s="4"/>
      <c r="I14" s="6" t="str">
        <f>IF(COUNTIF(C7,""),"","13th Check")</f>
        <v>13th Check</v>
      </c>
      <c r="J14" s="4">
        <f>IF(COUNTIF(C7,""),"",IF(COUNTIF(K6,"*Younger*"),100%-12%-(J6*0.4%),IF(100%-12%+(J6*0.4%)&gt;100%,100%,100%-12%+(J6*0.4%))))</f>
        <v>0.872</v>
      </c>
      <c r="K14" s="31">
        <f>IF(COUNTIF(C7,""),"",(C18+C22+C30+C39)*J14)</f>
        <v>4810.9896799999997</v>
      </c>
      <c r="L14" s="5">
        <f>IF(COUNTIF(C7,""),"",K14*I13)</f>
        <v>3608.24226</v>
      </c>
      <c r="M14" s="1" t="str">
        <f>IF(AND(MONTH(H18)=2,DAY(H18)&gt;1),"Member turned 65 in February",IF(AND(MONTH(H18)=2,DAY(H18)=1),"Member turned 65 at the start February","February"))</f>
        <v>February</v>
      </c>
      <c r="N14" s="226">
        <v>125</v>
      </c>
      <c r="O14" s="1" t="str">
        <f>IF(N9=2015,ROUND(ROUNDDOWN((SUM(N11:N14))/117,0)/12,2),"")</f>
        <v/>
      </c>
    </row>
    <row r="15" spans="1:24" x14ac:dyDescent="0.25">
      <c r="A15" s="38">
        <v>23.03</v>
      </c>
      <c r="B15" s="31">
        <v>118</v>
      </c>
      <c r="C15" s="5">
        <f t="shared" si="0"/>
        <v>2717.54</v>
      </c>
      <c r="D15" s="539" t="s">
        <v>20</v>
      </c>
      <c r="E15" s="539"/>
      <c r="F15" s="539"/>
      <c r="G15" s="21">
        <f>SUM(A24:A29,A33:A38)</f>
        <v>13.09</v>
      </c>
      <c r="H15" s="3">
        <f>SUM(C24:C29,C33:C38)</f>
        <v>1767.1499999999999</v>
      </c>
      <c r="I15" s="16" t="str">
        <f>IF(COUNTIF(C7,""),"","100%")</f>
        <v>100%</v>
      </c>
      <c r="J15" s="4">
        <f>IF(COUNTIF(C7,""),"",IF(COUNTIF(K6,"*Younger*"),100%-15%-(J6*0.5%),IF(100%-15%+(J6*0.5%)&gt;100%,100%,100%-15%+(J6*0.5%))))</f>
        <v>0.84</v>
      </c>
      <c r="K15" s="31">
        <f>IF(COUNTIF(C7,""),"",(C18+C22+C30+C39)*J15)</f>
        <v>4634.4395999999997</v>
      </c>
      <c r="L15" s="5">
        <f>IF(COUNTIF(C7,""),"",K15*I15)</f>
        <v>4634.4395999999997</v>
      </c>
      <c r="M15" s="1" t="str">
        <f>IF(AND(MONTH(H18)=1,DAY(H18)&gt;1),"Member turned 65 in January",IF(AND(MONTH(H18)=1,DAY(H18)=1),"Member turned 65 at the start of January","January"))</f>
        <v>January</v>
      </c>
      <c r="N15" s="226">
        <v>125</v>
      </c>
      <c r="O15" s="1" t="str">
        <f>IF(N9=2015,(ROUND(ROUNDDOWN(SUM(N15)/125,0)/12,2)+(ROUND(ROUNDDOWN(SUM(N11:N14)/117,0)/12,2))),"")</f>
        <v/>
      </c>
    </row>
    <row r="16" spans="1:24" ht="14.25" thickBot="1" x14ac:dyDescent="0.3">
      <c r="A16" s="38"/>
      <c r="B16" s="31">
        <v>105</v>
      </c>
      <c r="C16" s="5">
        <f t="shared" si="0"/>
        <v>0</v>
      </c>
      <c r="D16" s="535" t="s">
        <v>91</v>
      </c>
      <c r="E16" s="535"/>
      <c r="F16" s="535"/>
      <c r="G16" s="535"/>
      <c r="H16" s="100">
        <f>SUM(C11:C17,C20:C21,C24:C29,C33:C38)</f>
        <v>5517.19</v>
      </c>
      <c r="I16" s="18" t="str">
        <f>IF(COUNTIF(C7,""),"","13th Check")</f>
        <v>13th Check</v>
      </c>
      <c r="J16" s="107">
        <f>IF(COUNTIF(C7,""),"",IF(COUNTIF(K6,"*Younger*"),100%-15%-(J6*0.5%),IF(100%-15%+(J6*0.5%)&gt;100%,100%,100%-15%+(J6*0.5%))))</f>
        <v>0.84</v>
      </c>
      <c r="K16" s="92">
        <f>IF(COUNTIF(C7,""),"",(C18+C22+C30+C39)*J16)</f>
        <v>4634.4395999999997</v>
      </c>
      <c r="L16" s="85">
        <f>IF(COUNTIF(C7,""),"",K16*I15)</f>
        <v>4634.4395999999997</v>
      </c>
      <c r="M16" s="1" t="str">
        <f>IF(AND(MONTH(H18)=12,DAY(H18)&gt;1),"Member turned 65 in December",IF(AND(MONTH(H18)=12,DAY(H18)=1),"Member turned 65 at the start of December","December"))</f>
        <v>December</v>
      </c>
      <c r="N16" s="226">
        <v>125</v>
      </c>
      <c r="O16" s="1" t="str">
        <f>IF(N9=2015,(ROUND(ROUNDDOWN(SUM(N15:N16)/125,0)/12,2)+(ROUND(ROUNDDOWN(SUM(N11:N14)/117,0)/12,2))),"")</f>
        <v/>
      </c>
    </row>
    <row r="17" spans="1:15" ht="14.25" thickBot="1" x14ac:dyDescent="0.3">
      <c r="A17" s="38">
        <v>3.93</v>
      </c>
      <c r="B17" s="31">
        <v>125</v>
      </c>
      <c r="C17" s="5">
        <f t="shared" si="0"/>
        <v>491.25</v>
      </c>
      <c r="D17" s="535" t="s">
        <v>90</v>
      </c>
      <c r="E17" s="535"/>
      <c r="F17" s="535"/>
      <c r="G17" s="535"/>
      <c r="H17" s="100">
        <f>SUM(C11:C17,C20:C21,C24:C29,C33:C38)</f>
        <v>5517.19</v>
      </c>
      <c r="M17" s="1" t="str">
        <f>IF(AND(MONTH(H18)=11,DAY(H18)&gt;1),"Member turned 65 in November",IF(AND(MONTH(H18)=11,DAY(H18)=1),"Member turned 65 at the start of November","November"))</f>
        <v>November</v>
      </c>
      <c r="N17" s="226">
        <v>125</v>
      </c>
      <c r="O17" s="1" t="str">
        <f>IF(N9=2015,(ROUND(ROUNDDOWN(SUM(N15:N17)/125,0)/12,2)+(ROUND(ROUNDDOWN(SUM(N11:N14)/117,0)/12,2))),"")</f>
        <v/>
      </c>
    </row>
    <row r="18" spans="1:15" ht="14.25" thickBot="1" x14ac:dyDescent="0.3">
      <c r="A18" s="24">
        <f>SUM(A11:A17)</f>
        <v>26.96</v>
      </c>
      <c r="B18" s="23" t="s">
        <v>11</v>
      </c>
      <c r="C18" s="26">
        <f>SUM(C11:C17)</f>
        <v>3208.79</v>
      </c>
      <c r="D18" s="96" t="s">
        <v>89</v>
      </c>
      <c r="G18" s="97">
        <f>SUM(A11:A17,A20:A21,A24:A29)</f>
        <v>43.05</v>
      </c>
      <c r="H18" s="95">
        <f>EDATE(C3, 65 * 12)</f>
        <v>56334</v>
      </c>
      <c r="I18" s="540" t="str">
        <f>IF(COUNTIF(C7,""),"","Delayed 2 H&amp;W Pension Options")</f>
        <v>Delayed 2 H&amp;W Pension Options</v>
      </c>
      <c r="J18" s="541"/>
      <c r="K18" s="541"/>
      <c r="L18" s="542"/>
      <c r="M18" s="1" t="str">
        <f>IF(AND(MONTH(H18)=10,DAY(H18)&gt;1),"Member turned 65 in October",IF(AND(MONTH(H18)=10,DAY(H18)=1),"Member turned 65 at the start of October","October"))</f>
        <v>October</v>
      </c>
      <c r="N18" s="226">
        <v>125</v>
      </c>
      <c r="O18" s="1" t="str">
        <f>IF(N9=2015,(ROUND(ROUNDDOWN(SUM(N15:N18)/125,0)/12,2)+(ROUND(ROUNDDOWN(SUM(N11:N14)/117,0)/12,2))),"")</f>
        <v/>
      </c>
    </row>
    <row r="19" spans="1:15" ht="15.75" customHeight="1" thickBot="1" x14ac:dyDescent="0.3">
      <c r="A19" s="536" t="s">
        <v>12</v>
      </c>
      <c r="B19" s="537"/>
      <c r="C19" s="538"/>
      <c r="D19" s="1" t="str">
        <f>IF(DATEDIF(C3,C5,"m")&gt;=846,"Date member turned 70 1/2","")</f>
        <v/>
      </c>
      <c r="E19" s="2"/>
      <c r="F19" s="2"/>
      <c r="H19" s="95" t="str">
        <f>IF(DATEDIF(C3,C5,"m")&gt;=846,EDATE(C3,70*12+6),"")</f>
        <v/>
      </c>
      <c r="I19" s="11" t="str">
        <f>IF(COUNTIF(C7,""),"","Option")</f>
        <v>Option</v>
      </c>
      <c r="J19" s="10" t="str">
        <f>IF(COUNTIF(C7,""),"","Factor")</f>
        <v>Factor</v>
      </c>
      <c r="K19" s="10" t="str">
        <f>IF(COUNTIF(C7,""),"","Member Benefit")</f>
        <v>Member Benefit</v>
      </c>
      <c r="L19" s="15" t="str">
        <f>IF(COUNTIF(C7,""),"","Spouse Benefit")</f>
        <v>Spouse Benefit</v>
      </c>
      <c r="M19" s="1" t="str">
        <f>IF(AND(MONTH(H18)=9,DAY(H18)&gt;1),"Member turned 65 in September",IF(AND(MONTH(H18)=9,DAY(H18)=1),"Member turned 65 at the start of September","September"))</f>
        <v>September</v>
      </c>
      <c r="N19" s="226">
        <v>125</v>
      </c>
      <c r="O19" s="1" t="str">
        <f>IF(N9=2015,(ROUND(ROUNDDOWN(SUM(N15:N19)/125,0)/12,2)+(ROUND(ROUNDDOWN(SUM(N11:N14)/117,0)/12,2))),"")</f>
        <v/>
      </c>
    </row>
    <row r="20" spans="1:15" x14ac:dyDescent="0.25">
      <c r="A20" s="38"/>
      <c r="B20" s="31">
        <v>90</v>
      </c>
      <c r="C20" s="5">
        <f>A20*B20</f>
        <v>0</v>
      </c>
      <c r="D20" s="1" t="s">
        <v>94</v>
      </c>
      <c r="H20" s="3">
        <f>SUM(C11:C17,C20:C21,C24:C29)</f>
        <v>5337.6399999999994</v>
      </c>
      <c r="I20" s="16">
        <f>IF(COUNTIF(C7,""),"",50%)</f>
        <v>0.5</v>
      </c>
      <c r="J20" s="4">
        <f>IF(COUNTIF(C7,""),"",IF(COUNTIF(K6,"*Younger*"),100%-8%-(J6*0.4%),IF(100%-8%+(J6*0.4%)&gt;100%,100%,100%-8%+(J6*0.4%))))</f>
        <v>0.91200000000000003</v>
      </c>
      <c r="K20" s="31">
        <f>IF(COUNTIF(C7,""),"",(((C18+C22+C30)*((H22*1%)+(H23*1.5%)))+(C18+C22+C30))*J20)</f>
        <v>6717.7401983999998</v>
      </c>
      <c r="L20" s="5">
        <f>IF(COUNTIF(C7,""),"",K20*I20)</f>
        <v>3358.8700991999999</v>
      </c>
      <c r="M20" s="1" t="str">
        <f>IF(AND(MONTH(H18)=8,DAY(H18)&gt;1),"Member turned 65 in August",IF(AND(MONTH(H18)=8,DAY(H18)=1),"Member turned 65 at the start of August","August"))</f>
        <v>August</v>
      </c>
      <c r="N20" s="226">
        <v>125</v>
      </c>
      <c r="O20" s="1" t="str">
        <f>IF(N9=2015,(ROUND(ROUNDDOWN(SUM(N15:N20)/125,0)/12,2)+(ROUND(ROUNDDOWN(SUM(N11:N14)/117,0)/12,2))),"")</f>
        <v/>
      </c>
    </row>
    <row r="21" spans="1:15" ht="14.25" thickBot="1" x14ac:dyDescent="0.3">
      <c r="A21" s="38">
        <v>4.33</v>
      </c>
      <c r="B21" s="31">
        <v>125</v>
      </c>
      <c r="C21" s="5">
        <f>A21*B21</f>
        <v>541.25</v>
      </c>
      <c r="D21" s="1" t="s">
        <v>93</v>
      </c>
      <c r="H21" s="3">
        <f>SUM(C11:C17,C20:C21,C24:C29)</f>
        <v>5337.6399999999994</v>
      </c>
      <c r="I21" s="6" t="str">
        <f>IF(COUNTIF(C7,""),"","13th Check")</f>
        <v>13th Check</v>
      </c>
      <c r="J21" s="4">
        <f>IF(COUNTIF(C7,""),"",IF(COUNTIF(K6,"*Younger*"),100%-8%-(J6*0.4%),IF(100%-8%+(J6*0.4%)&gt;100%,100%,100%-8%+(J6*0.4%))))</f>
        <v>0.91200000000000003</v>
      </c>
      <c r="K21" s="31">
        <f>IF(COUNTIF(C7,""),"",(((C18+C22+C30)*((H22*1%)+(H23*1.5%)))+(C18+C22+C30))*J21)</f>
        <v>6717.7401983999998</v>
      </c>
      <c r="L21" s="5">
        <f>IF(COUNTIF(C7,""),"",K21*I20)</f>
        <v>3358.8700991999999</v>
      </c>
      <c r="M21" s="1" t="str">
        <f>IF(AND(MONTH(H18)=7,DAY(H18)&gt;1),"Member turned 65 in July",IF(AND(MONTH(H18)=7,DAY(H18)=1),"Member turned 65 at the start of July","July"))</f>
        <v>July</v>
      </c>
      <c r="N21" s="226">
        <v>125</v>
      </c>
      <c r="O21" s="1" t="str">
        <f>IF(N9=2015,(ROUND(ROUNDDOWN(SUM(N15:N21)/125,0)/12,2)+(ROUND(ROUNDDOWN(SUM(N11:N14)/117,0)/12,2))),"")</f>
        <v/>
      </c>
    </row>
    <row r="22" spans="1:15" ht="14.25" thickBot="1" x14ac:dyDescent="0.3">
      <c r="A22" s="24">
        <f>SUM(A20:A21)</f>
        <v>4.33</v>
      </c>
      <c r="B22" s="23" t="s">
        <v>11</v>
      </c>
      <c r="C22" s="26">
        <f>SUM(C20:C21)</f>
        <v>541.25</v>
      </c>
      <c r="D22" s="77" t="s">
        <v>95</v>
      </c>
      <c r="H22" s="226">
        <v>38</v>
      </c>
      <c r="I22" s="16" t="str">
        <f>IF(COUNTIF(C7,""),"","75%")</f>
        <v>75%</v>
      </c>
      <c r="J22" s="4">
        <f>IF(COUNTIF(C7,""),"",IF(COUNTIF(K6,"*Younger*"),100%-12%-(J6*0.4%),IF(100%-12%+(J6*0.4%)&gt;100%,100%,100%-12%+(J6*0.4%))))</f>
        <v>0.872</v>
      </c>
      <c r="K22" s="31">
        <f>IF(COUNTIF(C7,""),"",(((C18+C22+C30)*((H22*1%)+(H23*1.5%)))+(C18+C22+C30))*J22)</f>
        <v>6423.1024704000001</v>
      </c>
      <c r="L22" s="5">
        <f>IF(COUNTIF(C7,""),"",K22*I22)</f>
        <v>4817.3268527999999</v>
      </c>
      <c r="M22" s="1" t="str">
        <f>IF(AND(MONTH(H18)=6,DAY(H18)&gt;1),"Member turned 65 in June",IF(AND(MONTH(H18)=6,DAY(H18)=1),"Member turned 65 at the start of June","June"))</f>
        <v>June</v>
      </c>
      <c r="N22" s="226">
        <v>125</v>
      </c>
      <c r="O22" s="1" t="str">
        <f>IF(N9=2015,(ROUND(ROUNDDOWN(SUM(N15:N22)/125,0)/12,2)+(ROUND(ROUNDDOWN(SUM(N11:N14)/117,0)/12,2))),"")</f>
        <v/>
      </c>
    </row>
    <row r="23" spans="1:15" ht="15" customHeight="1" thickBot="1" x14ac:dyDescent="0.3">
      <c r="A23" s="536" t="s">
        <v>13</v>
      </c>
      <c r="B23" s="537"/>
      <c r="C23" s="538"/>
      <c r="D23" s="77" t="s">
        <v>96</v>
      </c>
      <c r="H23" s="226"/>
      <c r="I23" s="6" t="str">
        <f>IF(COUNTIF(C7,""),"","13th Check")</f>
        <v>13th Check</v>
      </c>
      <c r="J23" s="4">
        <f>IF(COUNTIF(C7,""),"",IF(COUNTIF(K6,"*Younger*"),100%-12%-(J6*0.4%),IF(100%-12%+(J6*0.4%)&gt;100%,100%,100%-12%+(J6*0.4%))))</f>
        <v>0.872</v>
      </c>
      <c r="K23" s="31">
        <f>IF(COUNTIF(C7,""),"",(((C18+C22+C30)*((H22*1%)+(H23*1.5%)))+(C18+C22+C30))*J23)</f>
        <v>6423.1024704000001</v>
      </c>
      <c r="L23" s="5">
        <f>IF(COUNTIF(C7,""),"",K23*I22)</f>
        <v>4817.3268527999999</v>
      </c>
      <c r="M23" s="1" t="str">
        <f>"Total hours and credits in PY "&amp;IF(MONTH(H18)&gt;5,YEAR(H18)+1,YEAR(H18))</f>
        <v>Total hours and credits in PY 2054</v>
      </c>
      <c r="N23" s="1">
        <f>SUM(N11:N22)</f>
        <v>1500</v>
      </c>
      <c r="O23" s="21">
        <f>IF(N9&lt;2015,ROUND(ROUNDDOWN(N23/117,0)/12,2),IF(N9&gt;2015,ROUND(ROUNDDOWN(N23/125,0)/12,2),(ROUNDDOWN(SUM(N11:N14/117,0)/12,2))+(ROUNDDOWN(SUM(N15:N22/125,0)/12,2))))</f>
        <v>1</v>
      </c>
    </row>
    <row r="24" spans="1:15" x14ac:dyDescent="0.25">
      <c r="A24" s="38"/>
      <c r="B24" s="31">
        <v>105</v>
      </c>
      <c r="C24" s="5">
        <f t="shared" ref="C24:C29" si="1">A24*B24</f>
        <v>0</v>
      </c>
      <c r="D24" s="77" t="s">
        <v>67</v>
      </c>
      <c r="H24" s="4">
        <f>SUM(H22*1%)+(H23*1.5%)</f>
        <v>0.38</v>
      </c>
      <c r="I24" s="16" t="str">
        <f>IF(COUNTIF(C7,""),"","100%")</f>
        <v>100%</v>
      </c>
      <c r="J24" s="4">
        <f>IF(COUNTIF(C7,""),"",IF(COUNTIF(K6,"*Younger*"),100%-15%-(J6*0.5%),IF(100%-15%+(J6*0.5%)&gt;100%,100%,100%-15%+(J6*0.5%))))</f>
        <v>0.84</v>
      </c>
      <c r="K24" s="31">
        <f>IF(COUNTIF(C7,""),"",(((C18+C22+C30)*((H22*1%)+(H23*1.5%)))+(C18+C22+C30))*J24)</f>
        <v>6187.3922879999991</v>
      </c>
      <c r="L24" s="5">
        <f>IF(COUNTIF(C7,""),"",K24*I24)</f>
        <v>6187.3922879999991</v>
      </c>
      <c r="M24" s="1" t="s">
        <v>218</v>
      </c>
      <c r="N24" s="1">
        <f>IF(MONTH(H18)=6,IF(DAY(H18)=1,0,N22),IF(MONTH(H18)=7,IF(DAY(H18)=1,N22,SUM(N21:N22)),IF(MONTH(H18)=8,IF(DAY(H18)=1,SUM(N21:N22),SUM(N20:N22)),IF(MONTH(H18)=9,IF(DAY(H18)=1,SUM(N20:N22),SUM(N19:N22)),IF(MONTH(H18)=10,IF(DAY(H18)=1,SUM(N19:N22),SUM(N18:N22)),IF(MONTH(H18)=11,IF(DAY(H18)=1,SUM(N18:N22),SUM(N17:N22)),IF(MONTH(H18)=12,IF(DAY(H18)=1,SUM(N17:N22),SUM(N16:N22)),IF(MONTH(H18)=1,IF(DAY(H18)=1,SUM(N16:N22),SUM(N15:N22)),IF(MONTH(H18)=2,IF(DAY(H18)=1,SUM(N15:N22),SUM(N14:N22)),IF(MONTH(H18)=3,IF(DAY(H18)=1,SUM(N14:N22),SUM(N13:N22)),IF(MONTH(H18)=4,IF(DAY(H18)=1,SUM(N13:N22),SUM(N12:N22)),IF(MONTH(H18)=5,IF(DAY(H18)=1,SUM(N12:N22),SUM(N11:N22))))))))))))))</f>
        <v>1250</v>
      </c>
      <c r="O24" s="266">
        <f>IF(N9&lt;2015,ROUND(ROUNDDOWN(N24/117,0)/12,2),IF(N9&gt;2015,ROUND(ROUNDDOWN(N24/125,0)/12,2),ROUNDDOWN(SUM(N11:N14/117,0)/12,2)+ROUNDDOWN(SUM(N15:N22/125,0)/12,2)))</f>
        <v>0.83</v>
      </c>
    </row>
    <row r="25" spans="1:15" ht="14.25" thickBot="1" x14ac:dyDescent="0.3">
      <c r="A25" s="38"/>
      <c r="B25" s="31">
        <v>125</v>
      </c>
      <c r="C25" s="5">
        <f t="shared" si="1"/>
        <v>0</v>
      </c>
      <c r="D25" s="1" t="s">
        <v>82</v>
      </c>
      <c r="H25" s="3">
        <f>SUM(C18+C22+C30)*H24</f>
        <v>2028.3031999999998</v>
      </c>
      <c r="I25" s="18" t="str">
        <f>IF(COUNTIF(C7,""),"","13th Check")</f>
        <v>13th Check</v>
      </c>
      <c r="J25" s="107">
        <f>IF(COUNTIF(C7,""),"",IF(COUNTIF(K6,"*Younger*"),100%-15%-(J6*0.5%),IF(100%-15%+(J6*0.5%)&gt;100%,100%,100%-15%+(J6*0.5%))))</f>
        <v>0.84</v>
      </c>
      <c r="K25" s="92">
        <f>IF(COUNTIF(C7,""),"",(((C18+C22+C30)*((H22*1%)+(H23*1.5%)))+(C18+C22+C30))*J24)</f>
        <v>6187.3922879999991</v>
      </c>
      <c r="L25" s="85">
        <f>IF(COUNTIF(C7,""),"",K25*I24)</f>
        <v>6187.3922879999991</v>
      </c>
      <c r="M25" s="1" t="str">
        <f>"Credits earned Post-65 in PY "&amp;IF(MONTH(H18)&gt;5,YEAR(H18)+1,YEAR(H18))</f>
        <v>Credits earned Post-65 in PY 2054</v>
      </c>
      <c r="O25" s="266">
        <f>O23-O24</f>
        <v>0.17000000000000004</v>
      </c>
    </row>
    <row r="26" spans="1:15" x14ac:dyDescent="0.25">
      <c r="A26" s="38">
        <v>11.76</v>
      </c>
      <c r="B26" s="31">
        <v>135</v>
      </c>
      <c r="C26" s="5">
        <f t="shared" si="1"/>
        <v>1587.6</v>
      </c>
      <c r="D26" s="1" t="s">
        <v>83</v>
      </c>
      <c r="H26" s="3">
        <f>SUM(C18+C22+C30)*H24</f>
        <v>2028.3031999999998</v>
      </c>
    </row>
    <row r="27" spans="1:15" x14ac:dyDescent="0.25">
      <c r="A27" s="38"/>
      <c r="B27" s="229"/>
      <c r="C27" s="5">
        <f t="shared" si="1"/>
        <v>0</v>
      </c>
      <c r="D27" s="101" t="s">
        <v>84</v>
      </c>
      <c r="E27" s="101"/>
      <c r="F27" s="101"/>
      <c r="G27" s="101"/>
      <c r="H27" s="100">
        <f>SUM(C18,C22,C30)*((H22*1%)+(H23*1.5%))+(C18+C22+C30)</f>
        <v>7365.9431999999997</v>
      </c>
    </row>
    <row r="28" spans="1:15" ht="15.75" customHeight="1" x14ac:dyDescent="0.25">
      <c r="A28" s="38"/>
      <c r="B28" s="229"/>
      <c r="C28" s="5">
        <f t="shared" si="1"/>
        <v>0</v>
      </c>
      <c r="D28" s="101" t="s">
        <v>85</v>
      </c>
      <c r="E28" s="101"/>
      <c r="F28" s="101"/>
      <c r="G28" s="101"/>
      <c r="H28" s="100">
        <f>SUM(C18,C22,C30)*((H22*1%)+(H23*1.5%))+(C18+C22+C30)</f>
        <v>7365.9431999999997</v>
      </c>
    </row>
    <row r="29" spans="1:15" ht="14.25" thickBot="1" x14ac:dyDescent="0.3">
      <c r="A29" s="38"/>
      <c r="B29" s="229"/>
      <c r="C29" s="5">
        <f t="shared" si="1"/>
        <v>0</v>
      </c>
    </row>
    <row r="30" spans="1:15" ht="14.25" thickBot="1" x14ac:dyDescent="0.3">
      <c r="A30" s="24">
        <f>SUM(A24:A29)</f>
        <v>11.76</v>
      </c>
      <c r="B30" s="23" t="s">
        <v>11</v>
      </c>
      <c r="C30" s="26">
        <f>SUM(C24:C29)</f>
        <v>1587.6</v>
      </c>
      <c r="D30" s="1" t="s">
        <v>75</v>
      </c>
      <c r="H30" s="3">
        <f>H16</f>
        <v>5517.19</v>
      </c>
    </row>
    <row r="31" spans="1:15" ht="15.75" customHeight="1" thickBot="1" x14ac:dyDescent="0.3">
      <c r="A31" s="36">
        <f>SUM(A18,A22,A30)</f>
        <v>43.05</v>
      </c>
      <c r="B31" s="28" t="s">
        <v>81</v>
      </c>
      <c r="C31" s="26">
        <f>SUM(C18,C22,C30)</f>
        <v>5337.6399999999994</v>
      </c>
      <c r="D31" s="1" t="s">
        <v>76</v>
      </c>
      <c r="H31" s="3">
        <f>H27</f>
        <v>7365.9431999999997</v>
      </c>
    </row>
    <row r="32" spans="1:15" ht="14.25" thickBot="1" x14ac:dyDescent="0.3">
      <c r="A32" s="532" t="s">
        <v>80</v>
      </c>
      <c r="B32" s="533"/>
      <c r="C32" s="534"/>
      <c r="D32" s="257" t="s">
        <v>77</v>
      </c>
      <c r="E32" s="257"/>
      <c r="F32" s="257"/>
      <c r="G32" s="257" t="str">
        <f>IF(H30=H31,"No Difference",IF(H30&lt;H31,"Calculation 2","Calculation 1"))</f>
        <v>Calculation 2</v>
      </c>
      <c r="H32" s="258">
        <f>IF(H30=H31,H30,IF(H30&lt;H31,H31,H30))</f>
        <v>7365.9431999999997</v>
      </c>
    </row>
    <row r="33" spans="1:12" ht="15.75" customHeight="1" x14ac:dyDescent="0.25">
      <c r="A33" s="230"/>
      <c r="B33" s="94">
        <v>105</v>
      </c>
      <c r="C33" s="88">
        <f t="shared" ref="C33:C38" si="2">(A33*B33)</f>
        <v>0</v>
      </c>
    </row>
    <row r="34" spans="1:12" x14ac:dyDescent="0.25">
      <c r="A34" s="38"/>
      <c r="B34" s="31">
        <v>125</v>
      </c>
      <c r="C34" s="5">
        <f t="shared" si="2"/>
        <v>0</v>
      </c>
    </row>
    <row r="35" spans="1:12" x14ac:dyDescent="0.25">
      <c r="A35" s="38">
        <v>1.33</v>
      </c>
      <c r="B35" s="31">
        <v>135</v>
      </c>
      <c r="C35" s="5">
        <f t="shared" si="2"/>
        <v>179.55</v>
      </c>
    </row>
    <row r="36" spans="1:12" x14ac:dyDescent="0.25">
      <c r="A36" s="38"/>
      <c r="B36" s="229"/>
      <c r="C36" s="5">
        <f t="shared" si="2"/>
        <v>0</v>
      </c>
    </row>
    <row r="37" spans="1:12" ht="14.25" thickBot="1" x14ac:dyDescent="0.3">
      <c r="A37" s="38"/>
      <c r="B37" s="229"/>
      <c r="C37" s="5">
        <f t="shared" si="2"/>
        <v>0</v>
      </c>
      <c r="D37" s="99" t="s">
        <v>30</v>
      </c>
      <c r="E37" s="19" t="s">
        <v>102</v>
      </c>
      <c r="F37" s="19"/>
      <c r="G37" s="19"/>
      <c r="H37" s="99" t="s">
        <v>31</v>
      </c>
      <c r="I37" s="19"/>
      <c r="J37" s="19"/>
      <c r="K37" s="19"/>
      <c r="L37" s="19"/>
    </row>
    <row r="38" spans="1:12" ht="14.25" thickBot="1" x14ac:dyDescent="0.3">
      <c r="A38" s="38"/>
      <c r="B38" s="231"/>
      <c r="C38" s="85">
        <f t="shared" si="2"/>
        <v>0</v>
      </c>
    </row>
    <row r="39" spans="1:12" ht="14.25" thickBot="1" x14ac:dyDescent="0.3">
      <c r="A39" s="24">
        <f>SUM(A33:A38)</f>
        <v>1.33</v>
      </c>
      <c r="B39" s="28" t="s">
        <v>11</v>
      </c>
      <c r="C39" s="26">
        <f>SUM(C33:C38)</f>
        <v>179.55</v>
      </c>
      <c r="D39" s="99" t="s">
        <v>92</v>
      </c>
      <c r="E39" s="114">
        <f ca="1">TODAY()</f>
        <v>46164</v>
      </c>
      <c r="F39" s="19"/>
      <c r="G39" s="19"/>
      <c r="H39" s="99" t="s">
        <v>92</v>
      </c>
      <c r="I39" s="19"/>
      <c r="J39" s="19"/>
      <c r="K39" s="19"/>
      <c r="L39" s="19"/>
    </row>
    <row r="40" spans="1:12" ht="14.25" thickBot="1" x14ac:dyDescent="0.3">
      <c r="A40" s="110">
        <f>SUM(A18,A22,A30,A39)</f>
        <v>44.379999999999995</v>
      </c>
      <c r="B40" s="28" t="s">
        <v>37</v>
      </c>
      <c r="C40" s="26">
        <f>SUM(C18,C22,C30,C39)</f>
        <v>5517.19</v>
      </c>
    </row>
  </sheetData>
  <mergeCells count="26">
    <mergeCell ref="A1:L1"/>
    <mergeCell ref="A2:B2"/>
    <mergeCell ref="C2:E2"/>
    <mergeCell ref="I2:J2"/>
    <mergeCell ref="A3:B3"/>
    <mergeCell ref="I9:L9"/>
    <mergeCell ref="D10:G10"/>
    <mergeCell ref="D11:F11"/>
    <mergeCell ref="D16:G16"/>
    <mergeCell ref="A4:B4"/>
    <mergeCell ref="M1:X1"/>
    <mergeCell ref="A32:C32"/>
    <mergeCell ref="D17:G17"/>
    <mergeCell ref="A23:C23"/>
    <mergeCell ref="D13:F13"/>
    <mergeCell ref="D15:F15"/>
    <mergeCell ref="I18:L18"/>
    <mergeCell ref="A19:C19"/>
    <mergeCell ref="A5:B5"/>
    <mergeCell ref="A6:B6"/>
    <mergeCell ref="C6:E6"/>
    <mergeCell ref="G6:I6"/>
    <mergeCell ref="A7:B7"/>
    <mergeCell ref="A8:B8"/>
    <mergeCell ref="A9:C9"/>
    <mergeCell ref="D9:H9"/>
  </mergeCells>
  <conditionalFormatting sqref="I9:L9">
    <cfRule type="expression" dxfId="3" priority="3">
      <formula>H30&gt;=H31</formula>
    </cfRule>
  </conditionalFormatting>
  <conditionalFormatting sqref="I18:L18">
    <cfRule type="expression" dxfId="2" priority="2">
      <formula>H30&lt;H31</formula>
    </cfRule>
  </conditionalFormatting>
  <pageMargins left="0.7" right="0.7" top="0.75" bottom="0.75" header="0.3" footer="0.3"/>
  <pageSetup scale="88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57B7-250A-42FF-B1C6-91C21F33FB2F}">
  <sheetPr>
    <pageSetUpPr fitToPage="1"/>
  </sheetPr>
  <dimension ref="A1:AC72"/>
  <sheetViews>
    <sheetView zoomScaleNormal="100" workbookViewId="0">
      <selection activeCell="N35" sqref="N35"/>
    </sheetView>
  </sheetViews>
  <sheetFormatPr defaultRowHeight="12.75" x14ac:dyDescent="0.2"/>
  <cols>
    <col min="1" max="1" width="10.140625" style="39" customWidth="1"/>
    <col min="2" max="2" width="10.28515625" style="39" bestFit="1" customWidth="1"/>
    <col min="3" max="3" width="8.7109375" style="75" customWidth="1"/>
    <col min="4" max="7" width="8.85546875" style="39"/>
    <col min="8" max="8" width="8.7109375" style="75" customWidth="1"/>
    <col min="9" max="9" width="11.140625" style="75" customWidth="1"/>
    <col min="10" max="10" width="15.140625" style="76" bestFit="1" customWidth="1"/>
    <col min="11" max="256" width="8.85546875" style="39"/>
    <col min="257" max="257" width="10.140625" style="39" customWidth="1"/>
    <col min="258" max="258" width="8.85546875" style="39"/>
    <col min="259" max="259" width="8.7109375" style="39" customWidth="1"/>
    <col min="260" max="263" width="8.85546875" style="39"/>
    <col min="264" max="264" width="8.7109375" style="39" customWidth="1"/>
    <col min="265" max="265" width="11.140625" style="39" customWidth="1"/>
    <col min="266" max="266" width="13.7109375" style="39" customWidth="1"/>
    <col min="267" max="512" width="8.85546875" style="39"/>
    <col min="513" max="513" width="10.140625" style="39" customWidth="1"/>
    <col min="514" max="514" width="8.85546875" style="39"/>
    <col min="515" max="515" width="8.7109375" style="39" customWidth="1"/>
    <col min="516" max="519" width="8.85546875" style="39"/>
    <col min="520" max="520" width="8.7109375" style="39" customWidth="1"/>
    <col min="521" max="521" width="11.140625" style="39" customWidth="1"/>
    <col min="522" max="522" width="13.7109375" style="39" customWidth="1"/>
    <col min="523" max="768" width="8.85546875" style="39"/>
    <col min="769" max="769" width="10.140625" style="39" customWidth="1"/>
    <col min="770" max="770" width="8.85546875" style="39"/>
    <col min="771" max="771" width="8.7109375" style="39" customWidth="1"/>
    <col min="772" max="775" width="8.85546875" style="39"/>
    <col min="776" max="776" width="8.7109375" style="39" customWidth="1"/>
    <col min="777" max="777" width="11.140625" style="39" customWidth="1"/>
    <col min="778" max="778" width="13.7109375" style="39" customWidth="1"/>
    <col min="779" max="1024" width="8.85546875" style="39"/>
    <col min="1025" max="1025" width="10.140625" style="39" customWidth="1"/>
    <col min="1026" max="1026" width="8.85546875" style="39"/>
    <col min="1027" max="1027" width="8.7109375" style="39" customWidth="1"/>
    <col min="1028" max="1031" width="8.85546875" style="39"/>
    <col min="1032" max="1032" width="8.7109375" style="39" customWidth="1"/>
    <col min="1033" max="1033" width="11.140625" style="39" customWidth="1"/>
    <col min="1034" max="1034" width="13.7109375" style="39" customWidth="1"/>
    <col min="1035" max="1280" width="8.85546875" style="39"/>
    <col min="1281" max="1281" width="10.140625" style="39" customWidth="1"/>
    <col min="1282" max="1282" width="8.85546875" style="39"/>
    <col min="1283" max="1283" width="8.7109375" style="39" customWidth="1"/>
    <col min="1284" max="1287" width="8.85546875" style="39"/>
    <col min="1288" max="1288" width="8.7109375" style="39" customWidth="1"/>
    <col min="1289" max="1289" width="11.140625" style="39" customWidth="1"/>
    <col min="1290" max="1290" width="13.7109375" style="39" customWidth="1"/>
    <col min="1291" max="1536" width="8.85546875" style="39"/>
    <col min="1537" max="1537" width="10.140625" style="39" customWidth="1"/>
    <col min="1538" max="1538" width="8.85546875" style="39"/>
    <col min="1539" max="1539" width="8.7109375" style="39" customWidth="1"/>
    <col min="1540" max="1543" width="8.85546875" style="39"/>
    <col min="1544" max="1544" width="8.7109375" style="39" customWidth="1"/>
    <col min="1545" max="1545" width="11.140625" style="39" customWidth="1"/>
    <col min="1546" max="1546" width="13.7109375" style="39" customWidth="1"/>
    <col min="1547" max="1792" width="8.85546875" style="39"/>
    <col min="1793" max="1793" width="10.140625" style="39" customWidth="1"/>
    <col min="1794" max="1794" width="8.85546875" style="39"/>
    <col min="1795" max="1795" width="8.7109375" style="39" customWidth="1"/>
    <col min="1796" max="1799" width="8.85546875" style="39"/>
    <col min="1800" max="1800" width="8.7109375" style="39" customWidth="1"/>
    <col min="1801" max="1801" width="11.140625" style="39" customWidth="1"/>
    <col min="1802" max="1802" width="13.7109375" style="39" customWidth="1"/>
    <col min="1803" max="2048" width="8.85546875" style="39"/>
    <col min="2049" max="2049" width="10.140625" style="39" customWidth="1"/>
    <col min="2050" max="2050" width="8.85546875" style="39"/>
    <col min="2051" max="2051" width="8.7109375" style="39" customWidth="1"/>
    <col min="2052" max="2055" width="8.85546875" style="39"/>
    <col min="2056" max="2056" width="8.7109375" style="39" customWidth="1"/>
    <col min="2057" max="2057" width="11.140625" style="39" customWidth="1"/>
    <col min="2058" max="2058" width="13.7109375" style="39" customWidth="1"/>
    <col min="2059" max="2304" width="8.85546875" style="39"/>
    <col min="2305" max="2305" width="10.140625" style="39" customWidth="1"/>
    <col min="2306" max="2306" width="8.85546875" style="39"/>
    <col min="2307" max="2307" width="8.7109375" style="39" customWidth="1"/>
    <col min="2308" max="2311" width="8.85546875" style="39"/>
    <col min="2312" max="2312" width="8.7109375" style="39" customWidth="1"/>
    <col min="2313" max="2313" width="11.140625" style="39" customWidth="1"/>
    <col min="2314" max="2314" width="13.7109375" style="39" customWidth="1"/>
    <col min="2315" max="2560" width="8.85546875" style="39"/>
    <col min="2561" max="2561" width="10.140625" style="39" customWidth="1"/>
    <col min="2562" max="2562" width="8.85546875" style="39"/>
    <col min="2563" max="2563" width="8.7109375" style="39" customWidth="1"/>
    <col min="2564" max="2567" width="8.85546875" style="39"/>
    <col min="2568" max="2568" width="8.7109375" style="39" customWidth="1"/>
    <col min="2569" max="2569" width="11.140625" style="39" customWidth="1"/>
    <col min="2570" max="2570" width="13.7109375" style="39" customWidth="1"/>
    <col min="2571" max="2816" width="8.85546875" style="39"/>
    <col min="2817" max="2817" width="10.140625" style="39" customWidth="1"/>
    <col min="2818" max="2818" width="8.85546875" style="39"/>
    <col min="2819" max="2819" width="8.7109375" style="39" customWidth="1"/>
    <col min="2820" max="2823" width="8.85546875" style="39"/>
    <col min="2824" max="2824" width="8.7109375" style="39" customWidth="1"/>
    <col min="2825" max="2825" width="11.140625" style="39" customWidth="1"/>
    <col min="2826" max="2826" width="13.7109375" style="39" customWidth="1"/>
    <col min="2827" max="3072" width="8.85546875" style="39"/>
    <col min="3073" max="3073" width="10.140625" style="39" customWidth="1"/>
    <col min="3074" max="3074" width="8.85546875" style="39"/>
    <col min="3075" max="3075" width="8.7109375" style="39" customWidth="1"/>
    <col min="3076" max="3079" width="8.85546875" style="39"/>
    <col min="3080" max="3080" width="8.7109375" style="39" customWidth="1"/>
    <col min="3081" max="3081" width="11.140625" style="39" customWidth="1"/>
    <col min="3082" max="3082" width="13.7109375" style="39" customWidth="1"/>
    <col min="3083" max="3328" width="8.85546875" style="39"/>
    <col min="3329" max="3329" width="10.140625" style="39" customWidth="1"/>
    <col min="3330" max="3330" width="8.85546875" style="39"/>
    <col min="3331" max="3331" width="8.7109375" style="39" customWidth="1"/>
    <col min="3332" max="3335" width="8.85546875" style="39"/>
    <col min="3336" max="3336" width="8.7109375" style="39" customWidth="1"/>
    <col min="3337" max="3337" width="11.140625" style="39" customWidth="1"/>
    <col min="3338" max="3338" width="13.7109375" style="39" customWidth="1"/>
    <col min="3339" max="3584" width="8.85546875" style="39"/>
    <col min="3585" max="3585" width="10.140625" style="39" customWidth="1"/>
    <col min="3586" max="3586" width="8.85546875" style="39"/>
    <col min="3587" max="3587" width="8.7109375" style="39" customWidth="1"/>
    <col min="3588" max="3591" width="8.85546875" style="39"/>
    <col min="3592" max="3592" width="8.7109375" style="39" customWidth="1"/>
    <col min="3593" max="3593" width="11.140625" style="39" customWidth="1"/>
    <col min="3594" max="3594" width="13.7109375" style="39" customWidth="1"/>
    <col min="3595" max="3840" width="8.85546875" style="39"/>
    <col min="3841" max="3841" width="10.140625" style="39" customWidth="1"/>
    <col min="3842" max="3842" width="8.85546875" style="39"/>
    <col min="3843" max="3843" width="8.7109375" style="39" customWidth="1"/>
    <col min="3844" max="3847" width="8.85546875" style="39"/>
    <col min="3848" max="3848" width="8.7109375" style="39" customWidth="1"/>
    <col min="3849" max="3849" width="11.140625" style="39" customWidth="1"/>
    <col min="3850" max="3850" width="13.7109375" style="39" customWidth="1"/>
    <col min="3851" max="4096" width="8.85546875" style="39"/>
    <col min="4097" max="4097" width="10.140625" style="39" customWidth="1"/>
    <col min="4098" max="4098" width="8.85546875" style="39"/>
    <col min="4099" max="4099" width="8.7109375" style="39" customWidth="1"/>
    <col min="4100" max="4103" width="8.85546875" style="39"/>
    <col min="4104" max="4104" width="8.7109375" style="39" customWidth="1"/>
    <col min="4105" max="4105" width="11.140625" style="39" customWidth="1"/>
    <col min="4106" max="4106" width="13.7109375" style="39" customWidth="1"/>
    <col min="4107" max="4352" width="8.85546875" style="39"/>
    <col min="4353" max="4353" width="10.140625" style="39" customWidth="1"/>
    <col min="4354" max="4354" width="8.85546875" style="39"/>
    <col min="4355" max="4355" width="8.7109375" style="39" customWidth="1"/>
    <col min="4356" max="4359" width="8.85546875" style="39"/>
    <col min="4360" max="4360" width="8.7109375" style="39" customWidth="1"/>
    <col min="4361" max="4361" width="11.140625" style="39" customWidth="1"/>
    <col min="4362" max="4362" width="13.7109375" style="39" customWidth="1"/>
    <col min="4363" max="4608" width="8.85546875" style="39"/>
    <col min="4609" max="4609" width="10.140625" style="39" customWidth="1"/>
    <col min="4610" max="4610" width="8.85546875" style="39"/>
    <col min="4611" max="4611" width="8.7109375" style="39" customWidth="1"/>
    <col min="4612" max="4615" width="8.85546875" style="39"/>
    <col min="4616" max="4616" width="8.7109375" style="39" customWidth="1"/>
    <col min="4617" max="4617" width="11.140625" style="39" customWidth="1"/>
    <col min="4618" max="4618" width="13.7109375" style="39" customWidth="1"/>
    <col min="4619" max="4864" width="8.85546875" style="39"/>
    <col min="4865" max="4865" width="10.140625" style="39" customWidth="1"/>
    <col min="4866" max="4866" width="8.85546875" style="39"/>
    <col min="4867" max="4867" width="8.7109375" style="39" customWidth="1"/>
    <col min="4868" max="4871" width="8.85546875" style="39"/>
    <col min="4872" max="4872" width="8.7109375" style="39" customWidth="1"/>
    <col min="4873" max="4873" width="11.140625" style="39" customWidth="1"/>
    <col min="4874" max="4874" width="13.7109375" style="39" customWidth="1"/>
    <col min="4875" max="5120" width="8.85546875" style="39"/>
    <col min="5121" max="5121" width="10.140625" style="39" customWidth="1"/>
    <col min="5122" max="5122" width="8.85546875" style="39"/>
    <col min="5123" max="5123" width="8.7109375" style="39" customWidth="1"/>
    <col min="5124" max="5127" width="8.85546875" style="39"/>
    <col min="5128" max="5128" width="8.7109375" style="39" customWidth="1"/>
    <col min="5129" max="5129" width="11.140625" style="39" customWidth="1"/>
    <col min="5130" max="5130" width="13.7109375" style="39" customWidth="1"/>
    <col min="5131" max="5376" width="8.85546875" style="39"/>
    <col min="5377" max="5377" width="10.140625" style="39" customWidth="1"/>
    <col min="5378" max="5378" width="8.85546875" style="39"/>
    <col min="5379" max="5379" width="8.7109375" style="39" customWidth="1"/>
    <col min="5380" max="5383" width="8.85546875" style="39"/>
    <col min="5384" max="5384" width="8.7109375" style="39" customWidth="1"/>
    <col min="5385" max="5385" width="11.140625" style="39" customWidth="1"/>
    <col min="5386" max="5386" width="13.7109375" style="39" customWidth="1"/>
    <col min="5387" max="5632" width="8.85546875" style="39"/>
    <col min="5633" max="5633" width="10.140625" style="39" customWidth="1"/>
    <col min="5634" max="5634" width="8.85546875" style="39"/>
    <col min="5635" max="5635" width="8.7109375" style="39" customWidth="1"/>
    <col min="5636" max="5639" width="8.85546875" style="39"/>
    <col min="5640" max="5640" width="8.7109375" style="39" customWidth="1"/>
    <col min="5641" max="5641" width="11.140625" style="39" customWidth="1"/>
    <col min="5642" max="5642" width="13.7109375" style="39" customWidth="1"/>
    <col min="5643" max="5888" width="8.85546875" style="39"/>
    <col min="5889" max="5889" width="10.140625" style="39" customWidth="1"/>
    <col min="5890" max="5890" width="8.85546875" style="39"/>
    <col min="5891" max="5891" width="8.7109375" style="39" customWidth="1"/>
    <col min="5892" max="5895" width="8.85546875" style="39"/>
    <col min="5896" max="5896" width="8.7109375" style="39" customWidth="1"/>
    <col min="5897" max="5897" width="11.140625" style="39" customWidth="1"/>
    <col min="5898" max="5898" width="13.7109375" style="39" customWidth="1"/>
    <col min="5899" max="6144" width="8.85546875" style="39"/>
    <col min="6145" max="6145" width="10.140625" style="39" customWidth="1"/>
    <col min="6146" max="6146" width="8.85546875" style="39"/>
    <col min="6147" max="6147" width="8.7109375" style="39" customWidth="1"/>
    <col min="6148" max="6151" width="8.85546875" style="39"/>
    <col min="6152" max="6152" width="8.7109375" style="39" customWidth="1"/>
    <col min="6153" max="6153" width="11.140625" style="39" customWidth="1"/>
    <col min="6154" max="6154" width="13.7109375" style="39" customWidth="1"/>
    <col min="6155" max="6400" width="8.85546875" style="39"/>
    <col min="6401" max="6401" width="10.140625" style="39" customWidth="1"/>
    <col min="6402" max="6402" width="8.85546875" style="39"/>
    <col min="6403" max="6403" width="8.7109375" style="39" customWidth="1"/>
    <col min="6404" max="6407" width="8.85546875" style="39"/>
    <col min="6408" max="6408" width="8.7109375" style="39" customWidth="1"/>
    <col min="6409" max="6409" width="11.140625" style="39" customWidth="1"/>
    <col min="6410" max="6410" width="13.7109375" style="39" customWidth="1"/>
    <col min="6411" max="6656" width="8.85546875" style="39"/>
    <col min="6657" max="6657" width="10.140625" style="39" customWidth="1"/>
    <col min="6658" max="6658" width="8.85546875" style="39"/>
    <col min="6659" max="6659" width="8.7109375" style="39" customWidth="1"/>
    <col min="6660" max="6663" width="8.85546875" style="39"/>
    <col min="6664" max="6664" width="8.7109375" style="39" customWidth="1"/>
    <col min="6665" max="6665" width="11.140625" style="39" customWidth="1"/>
    <col min="6666" max="6666" width="13.7109375" style="39" customWidth="1"/>
    <col min="6667" max="6912" width="8.85546875" style="39"/>
    <col min="6913" max="6913" width="10.140625" style="39" customWidth="1"/>
    <col min="6914" max="6914" width="8.85546875" style="39"/>
    <col min="6915" max="6915" width="8.7109375" style="39" customWidth="1"/>
    <col min="6916" max="6919" width="8.85546875" style="39"/>
    <col min="6920" max="6920" width="8.7109375" style="39" customWidth="1"/>
    <col min="6921" max="6921" width="11.140625" style="39" customWidth="1"/>
    <col min="6922" max="6922" width="13.7109375" style="39" customWidth="1"/>
    <col min="6923" max="7168" width="8.85546875" style="39"/>
    <col min="7169" max="7169" width="10.140625" style="39" customWidth="1"/>
    <col min="7170" max="7170" width="8.85546875" style="39"/>
    <col min="7171" max="7171" width="8.7109375" style="39" customWidth="1"/>
    <col min="7172" max="7175" width="8.85546875" style="39"/>
    <col min="7176" max="7176" width="8.7109375" style="39" customWidth="1"/>
    <col min="7177" max="7177" width="11.140625" style="39" customWidth="1"/>
    <col min="7178" max="7178" width="13.7109375" style="39" customWidth="1"/>
    <col min="7179" max="7424" width="8.85546875" style="39"/>
    <col min="7425" max="7425" width="10.140625" style="39" customWidth="1"/>
    <col min="7426" max="7426" width="8.85546875" style="39"/>
    <col min="7427" max="7427" width="8.7109375" style="39" customWidth="1"/>
    <col min="7428" max="7431" width="8.85546875" style="39"/>
    <col min="7432" max="7432" width="8.7109375" style="39" customWidth="1"/>
    <col min="7433" max="7433" width="11.140625" style="39" customWidth="1"/>
    <col min="7434" max="7434" width="13.7109375" style="39" customWidth="1"/>
    <col min="7435" max="7680" width="8.85546875" style="39"/>
    <col min="7681" max="7681" width="10.140625" style="39" customWidth="1"/>
    <col min="7682" max="7682" width="8.85546875" style="39"/>
    <col min="7683" max="7683" width="8.7109375" style="39" customWidth="1"/>
    <col min="7684" max="7687" width="8.85546875" style="39"/>
    <col min="7688" max="7688" width="8.7109375" style="39" customWidth="1"/>
    <col min="7689" max="7689" width="11.140625" style="39" customWidth="1"/>
    <col min="7690" max="7690" width="13.7109375" style="39" customWidth="1"/>
    <col min="7691" max="7936" width="8.85546875" style="39"/>
    <col min="7937" max="7937" width="10.140625" style="39" customWidth="1"/>
    <col min="7938" max="7938" width="8.85546875" style="39"/>
    <col min="7939" max="7939" width="8.7109375" style="39" customWidth="1"/>
    <col min="7940" max="7943" width="8.85546875" style="39"/>
    <col min="7944" max="7944" width="8.7109375" style="39" customWidth="1"/>
    <col min="7945" max="7945" width="11.140625" style="39" customWidth="1"/>
    <col min="7946" max="7946" width="13.7109375" style="39" customWidth="1"/>
    <col min="7947" max="8192" width="8.85546875" style="39"/>
    <col min="8193" max="8193" width="10.140625" style="39" customWidth="1"/>
    <col min="8194" max="8194" width="8.85546875" style="39"/>
    <col min="8195" max="8195" width="8.7109375" style="39" customWidth="1"/>
    <col min="8196" max="8199" width="8.85546875" style="39"/>
    <col min="8200" max="8200" width="8.7109375" style="39" customWidth="1"/>
    <col min="8201" max="8201" width="11.140625" style="39" customWidth="1"/>
    <col min="8202" max="8202" width="13.7109375" style="39" customWidth="1"/>
    <col min="8203" max="8448" width="8.85546875" style="39"/>
    <col min="8449" max="8449" width="10.140625" style="39" customWidth="1"/>
    <col min="8450" max="8450" width="8.85546875" style="39"/>
    <col min="8451" max="8451" width="8.7109375" style="39" customWidth="1"/>
    <col min="8452" max="8455" width="8.85546875" style="39"/>
    <col min="8456" max="8456" width="8.7109375" style="39" customWidth="1"/>
    <col min="8457" max="8457" width="11.140625" style="39" customWidth="1"/>
    <col min="8458" max="8458" width="13.7109375" style="39" customWidth="1"/>
    <col min="8459" max="8704" width="8.85546875" style="39"/>
    <col min="8705" max="8705" width="10.140625" style="39" customWidth="1"/>
    <col min="8706" max="8706" width="8.85546875" style="39"/>
    <col min="8707" max="8707" width="8.7109375" style="39" customWidth="1"/>
    <col min="8708" max="8711" width="8.85546875" style="39"/>
    <col min="8712" max="8712" width="8.7109375" style="39" customWidth="1"/>
    <col min="8713" max="8713" width="11.140625" style="39" customWidth="1"/>
    <col min="8714" max="8714" width="13.7109375" style="39" customWidth="1"/>
    <col min="8715" max="8960" width="8.85546875" style="39"/>
    <col min="8961" max="8961" width="10.140625" style="39" customWidth="1"/>
    <col min="8962" max="8962" width="8.85546875" style="39"/>
    <col min="8963" max="8963" width="8.7109375" style="39" customWidth="1"/>
    <col min="8964" max="8967" width="8.85546875" style="39"/>
    <col min="8968" max="8968" width="8.7109375" style="39" customWidth="1"/>
    <col min="8969" max="8969" width="11.140625" style="39" customWidth="1"/>
    <col min="8970" max="8970" width="13.7109375" style="39" customWidth="1"/>
    <col min="8971" max="9216" width="8.85546875" style="39"/>
    <col min="9217" max="9217" width="10.140625" style="39" customWidth="1"/>
    <col min="9218" max="9218" width="8.85546875" style="39"/>
    <col min="9219" max="9219" width="8.7109375" style="39" customWidth="1"/>
    <col min="9220" max="9223" width="8.85546875" style="39"/>
    <col min="9224" max="9224" width="8.7109375" style="39" customWidth="1"/>
    <col min="9225" max="9225" width="11.140625" style="39" customWidth="1"/>
    <col min="9226" max="9226" width="13.7109375" style="39" customWidth="1"/>
    <col min="9227" max="9472" width="8.85546875" style="39"/>
    <col min="9473" max="9473" width="10.140625" style="39" customWidth="1"/>
    <col min="9474" max="9474" width="8.85546875" style="39"/>
    <col min="9475" max="9475" width="8.7109375" style="39" customWidth="1"/>
    <col min="9476" max="9479" width="8.85546875" style="39"/>
    <col min="9480" max="9480" width="8.7109375" style="39" customWidth="1"/>
    <col min="9481" max="9481" width="11.140625" style="39" customWidth="1"/>
    <col min="9482" max="9482" width="13.7109375" style="39" customWidth="1"/>
    <col min="9483" max="9728" width="8.85546875" style="39"/>
    <col min="9729" max="9729" width="10.140625" style="39" customWidth="1"/>
    <col min="9730" max="9730" width="8.85546875" style="39"/>
    <col min="9731" max="9731" width="8.7109375" style="39" customWidth="1"/>
    <col min="9732" max="9735" width="8.85546875" style="39"/>
    <col min="9736" max="9736" width="8.7109375" style="39" customWidth="1"/>
    <col min="9737" max="9737" width="11.140625" style="39" customWidth="1"/>
    <col min="9738" max="9738" width="13.7109375" style="39" customWidth="1"/>
    <col min="9739" max="9984" width="8.85546875" style="39"/>
    <col min="9985" max="9985" width="10.140625" style="39" customWidth="1"/>
    <col min="9986" max="9986" width="8.85546875" style="39"/>
    <col min="9987" max="9987" width="8.7109375" style="39" customWidth="1"/>
    <col min="9988" max="9991" width="8.85546875" style="39"/>
    <col min="9992" max="9992" width="8.7109375" style="39" customWidth="1"/>
    <col min="9993" max="9993" width="11.140625" style="39" customWidth="1"/>
    <col min="9994" max="9994" width="13.7109375" style="39" customWidth="1"/>
    <col min="9995" max="10240" width="8.85546875" style="39"/>
    <col min="10241" max="10241" width="10.140625" style="39" customWidth="1"/>
    <col min="10242" max="10242" width="8.85546875" style="39"/>
    <col min="10243" max="10243" width="8.7109375" style="39" customWidth="1"/>
    <col min="10244" max="10247" width="8.85546875" style="39"/>
    <col min="10248" max="10248" width="8.7109375" style="39" customWidth="1"/>
    <col min="10249" max="10249" width="11.140625" style="39" customWidth="1"/>
    <col min="10250" max="10250" width="13.7109375" style="39" customWidth="1"/>
    <col min="10251" max="10496" width="8.85546875" style="39"/>
    <col min="10497" max="10497" width="10.140625" style="39" customWidth="1"/>
    <col min="10498" max="10498" width="8.85546875" style="39"/>
    <col min="10499" max="10499" width="8.7109375" style="39" customWidth="1"/>
    <col min="10500" max="10503" width="8.85546875" style="39"/>
    <col min="10504" max="10504" width="8.7109375" style="39" customWidth="1"/>
    <col min="10505" max="10505" width="11.140625" style="39" customWidth="1"/>
    <col min="10506" max="10506" width="13.7109375" style="39" customWidth="1"/>
    <col min="10507" max="10752" width="8.85546875" style="39"/>
    <col min="10753" max="10753" width="10.140625" style="39" customWidth="1"/>
    <col min="10754" max="10754" width="8.85546875" style="39"/>
    <col min="10755" max="10755" width="8.7109375" style="39" customWidth="1"/>
    <col min="10756" max="10759" width="8.85546875" style="39"/>
    <col min="10760" max="10760" width="8.7109375" style="39" customWidth="1"/>
    <col min="10761" max="10761" width="11.140625" style="39" customWidth="1"/>
    <col min="10762" max="10762" width="13.7109375" style="39" customWidth="1"/>
    <col min="10763" max="11008" width="8.85546875" style="39"/>
    <col min="11009" max="11009" width="10.140625" style="39" customWidth="1"/>
    <col min="11010" max="11010" width="8.85546875" style="39"/>
    <col min="11011" max="11011" width="8.7109375" style="39" customWidth="1"/>
    <col min="11012" max="11015" width="8.85546875" style="39"/>
    <col min="11016" max="11016" width="8.7109375" style="39" customWidth="1"/>
    <col min="11017" max="11017" width="11.140625" style="39" customWidth="1"/>
    <col min="11018" max="11018" width="13.7109375" style="39" customWidth="1"/>
    <col min="11019" max="11264" width="8.85546875" style="39"/>
    <col min="11265" max="11265" width="10.140625" style="39" customWidth="1"/>
    <col min="11266" max="11266" width="8.85546875" style="39"/>
    <col min="11267" max="11267" width="8.7109375" style="39" customWidth="1"/>
    <col min="11268" max="11271" width="8.85546875" style="39"/>
    <col min="11272" max="11272" width="8.7109375" style="39" customWidth="1"/>
    <col min="11273" max="11273" width="11.140625" style="39" customWidth="1"/>
    <col min="11274" max="11274" width="13.7109375" style="39" customWidth="1"/>
    <col min="11275" max="11520" width="8.85546875" style="39"/>
    <col min="11521" max="11521" width="10.140625" style="39" customWidth="1"/>
    <col min="11522" max="11522" width="8.85546875" style="39"/>
    <col min="11523" max="11523" width="8.7109375" style="39" customWidth="1"/>
    <col min="11524" max="11527" width="8.85546875" style="39"/>
    <col min="11528" max="11528" width="8.7109375" style="39" customWidth="1"/>
    <col min="11529" max="11529" width="11.140625" style="39" customWidth="1"/>
    <col min="11530" max="11530" width="13.7109375" style="39" customWidth="1"/>
    <col min="11531" max="11776" width="8.85546875" style="39"/>
    <col min="11777" max="11777" width="10.140625" style="39" customWidth="1"/>
    <col min="11778" max="11778" width="8.85546875" style="39"/>
    <col min="11779" max="11779" width="8.7109375" style="39" customWidth="1"/>
    <col min="11780" max="11783" width="8.85546875" style="39"/>
    <col min="11784" max="11784" width="8.7109375" style="39" customWidth="1"/>
    <col min="11785" max="11785" width="11.140625" style="39" customWidth="1"/>
    <col min="11786" max="11786" width="13.7109375" style="39" customWidth="1"/>
    <col min="11787" max="12032" width="8.85546875" style="39"/>
    <col min="12033" max="12033" width="10.140625" style="39" customWidth="1"/>
    <col min="12034" max="12034" width="8.85546875" style="39"/>
    <col min="12035" max="12035" width="8.7109375" style="39" customWidth="1"/>
    <col min="12036" max="12039" width="8.85546875" style="39"/>
    <col min="12040" max="12040" width="8.7109375" style="39" customWidth="1"/>
    <col min="12041" max="12041" width="11.140625" style="39" customWidth="1"/>
    <col min="12042" max="12042" width="13.7109375" style="39" customWidth="1"/>
    <col min="12043" max="12288" width="8.85546875" style="39"/>
    <col min="12289" max="12289" width="10.140625" style="39" customWidth="1"/>
    <col min="12290" max="12290" width="8.85546875" style="39"/>
    <col min="12291" max="12291" width="8.7109375" style="39" customWidth="1"/>
    <col min="12292" max="12295" width="8.85546875" style="39"/>
    <col min="12296" max="12296" width="8.7109375" style="39" customWidth="1"/>
    <col min="12297" max="12297" width="11.140625" style="39" customWidth="1"/>
    <col min="12298" max="12298" width="13.7109375" style="39" customWidth="1"/>
    <col min="12299" max="12544" width="8.85546875" style="39"/>
    <col min="12545" max="12545" width="10.140625" style="39" customWidth="1"/>
    <col min="12546" max="12546" width="8.85546875" style="39"/>
    <col min="12547" max="12547" width="8.7109375" style="39" customWidth="1"/>
    <col min="12548" max="12551" width="8.85546875" style="39"/>
    <col min="12552" max="12552" width="8.7109375" style="39" customWidth="1"/>
    <col min="12553" max="12553" width="11.140625" style="39" customWidth="1"/>
    <col min="12554" max="12554" width="13.7109375" style="39" customWidth="1"/>
    <col min="12555" max="12800" width="8.85546875" style="39"/>
    <col min="12801" max="12801" width="10.140625" style="39" customWidth="1"/>
    <col min="12802" max="12802" width="8.85546875" style="39"/>
    <col min="12803" max="12803" width="8.7109375" style="39" customWidth="1"/>
    <col min="12804" max="12807" width="8.85546875" style="39"/>
    <col min="12808" max="12808" width="8.7109375" style="39" customWidth="1"/>
    <col min="12809" max="12809" width="11.140625" style="39" customWidth="1"/>
    <col min="12810" max="12810" width="13.7109375" style="39" customWidth="1"/>
    <col min="12811" max="13056" width="8.85546875" style="39"/>
    <col min="13057" max="13057" width="10.140625" style="39" customWidth="1"/>
    <col min="13058" max="13058" width="8.85546875" style="39"/>
    <col min="13059" max="13059" width="8.7109375" style="39" customWidth="1"/>
    <col min="13060" max="13063" width="8.85546875" style="39"/>
    <col min="13064" max="13064" width="8.7109375" style="39" customWidth="1"/>
    <col min="13065" max="13065" width="11.140625" style="39" customWidth="1"/>
    <col min="13066" max="13066" width="13.7109375" style="39" customWidth="1"/>
    <col min="13067" max="13312" width="8.85546875" style="39"/>
    <col min="13313" max="13313" width="10.140625" style="39" customWidth="1"/>
    <col min="13314" max="13314" width="8.85546875" style="39"/>
    <col min="13315" max="13315" width="8.7109375" style="39" customWidth="1"/>
    <col min="13316" max="13319" width="8.85546875" style="39"/>
    <col min="13320" max="13320" width="8.7109375" style="39" customWidth="1"/>
    <col min="13321" max="13321" width="11.140625" style="39" customWidth="1"/>
    <col min="13322" max="13322" width="13.7109375" style="39" customWidth="1"/>
    <col min="13323" max="13568" width="8.85546875" style="39"/>
    <col min="13569" max="13569" width="10.140625" style="39" customWidth="1"/>
    <col min="13570" max="13570" width="8.85546875" style="39"/>
    <col min="13571" max="13571" width="8.7109375" style="39" customWidth="1"/>
    <col min="13572" max="13575" width="8.85546875" style="39"/>
    <col min="13576" max="13576" width="8.7109375" style="39" customWidth="1"/>
    <col min="13577" max="13577" width="11.140625" style="39" customWidth="1"/>
    <col min="13578" max="13578" width="13.7109375" style="39" customWidth="1"/>
    <col min="13579" max="13824" width="8.85546875" style="39"/>
    <col min="13825" max="13825" width="10.140625" style="39" customWidth="1"/>
    <col min="13826" max="13826" width="8.85546875" style="39"/>
    <col min="13827" max="13827" width="8.7109375" style="39" customWidth="1"/>
    <col min="13828" max="13831" width="8.85546875" style="39"/>
    <col min="13832" max="13832" width="8.7109375" style="39" customWidth="1"/>
    <col min="13833" max="13833" width="11.140625" style="39" customWidth="1"/>
    <col min="13834" max="13834" width="13.7109375" style="39" customWidth="1"/>
    <col min="13835" max="14080" width="8.85546875" style="39"/>
    <col min="14081" max="14081" width="10.140625" style="39" customWidth="1"/>
    <col min="14082" max="14082" width="8.85546875" style="39"/>
    <col min="14083" max="14083" width="8.7109375" style="39" customWidth="1"/>
    <col min="14084" max="14087" width="8.85546875" style="39"/>
    <col min="14088" max="14088" width="8.7109375" style="39" customWidth="1"/>
    <col min="14089" max="14089" width="11.140625" style="39" customWidth="1"/>
    <col min="14090" max="14090" width="13.7109375" style="39" customWidth="1"/>
    <col min="14091" max="14336" width="8.85546875" style="39"/>
    <col min="14337" max="14337" width="10.140625" style="39" customWidth="1"/>
    <col min="14338" max="14338" width="8.85546875" style="39"/>
    <col min="14339" max="14339" width="8.7109375" style="39" customWidth="1"/>
    <col min="14340" max="14343" width="8.85546875" style="39"/>
    <col min="14344" max="14344" width="8.7109375" style="39" customWidth="1"/>
    <col min="14345" max="14345" width="11.140625" style="39" customWidth="1"/>
    <col min="14346" max="14346" width="13.7109375" style="39" customWidth="1"/>
    <col min="14347" max="14592" width="8.85546875" style="39"/>
    <col min="14593" max="14593" width="10.140625" style="39" customWidth="1"/>
    <col min="14594" max="14594" width="8.85546875" style="39"/>
    <col min="14595" max="14595" width="8.7109375" style="39" customWidth="1"/>
    <col min="14596" max="14599" width="8.85546875" style="39"/>
    <col min="14600" max="14600" width="8.7109375" style="39" customWidth="1"/>
    <col min="14601" max="14601" width="11.140625" style="39" customWidth="1"/>
    <col min="14602" max="14602" width="13.7109375" style="39" customWidth="1"/>
    <col min="14603" max="14848" width="8.85546875" style="39"/>
    <col min="14849" max="14849" width="10.140625" style="39" customWidth="1"/>
    <col min="14850" max="14850" width="8.85546875" style="39"/>
    <col min="14851" max="14851" width="8.7109375" style="39" customWidth="1"/>
    <col min="14852" max="14855" width="8.85546875" style="39"/>
    <col min="14856" max="14856" width="8.7109375" style="39" customWidth="1"/>
    <col min="14857" max="14857" width="11.140625" style="39" customWidth="1"/>
    <col min="14858" max="14858" width="13.7109375" style="39" customWidth="1"/>
    <col min="14859" max="15104" width="8.85546875" style="39"/>
    <col min="15105" max="15105" width="10.140625" style="39" customWidth="1"/>
    <col min="15106" max="15106" width="8.85546875" style="39"/>
    <col min="15107" max="15107" width="8.7109375" style="39" customWidth="1"/>
    <col min="15108" max="15111" width="8.85546875" style="39"/>
    <col min="15112" max="15112" width="8.7109375" style="39" customWidth="1"/>
    <col min="15113" max="15113" width="11.140625" style="39" customWidth="1"/>
    <col min="15114" max="15114" width="13.7109375" style="39" customWidth="1"/>
    <col min="15115" max="15360" width="8.85546875" style="39"/>
    <col min="15361" max="15361" width="10.140625" style="39" customWidth="1"/>
    <col min="15362" max="15362" width="8.85546875" style="39"/>
    <col min="15363" max="15363" width="8.7109375" style="39" customWidth="1"/>
    <col min="15364" max="15367" width="8.85546875" style="39"/>
    <col min="15368" max="15368" width="8.7109375" style="39" customWidth="1"/>
    <col min="15369" max="15369" width="11.140625" style="39" customWidth="1"/>
    <col min="15370" max="15370" width="13.7109375" style="39" customWidth="1"/>
    <col min="15371" max="15616" width="8.85546875" style="39"/>
    <col min="15617" max="15617" width="10.140625" style="39" customWidth="1"/>
    <col min="15618" max="15618" width="8.85546875" style="39"/>
    <col min="15619" max="15619" width="8.7109375" style="39" customWidth="1"/>
    <col min="15620" max="15623" width="8.85546875" style="39"/>
    <col min="15624" max="15624" width="8.7109375" style="39" customWidth="1"/>
    <col min="15625" max="15625" width="11.140625" style="39" customWidth="1"/>
    <col min="15626" max="15626" width="13.7109375" style="39" customWidth="1"/>
    <col min="15627" max="15872" width="8.85546875" style="39"/>
    <col min="15873" max="15873" width="10.140625" style="39" customWidth="1"/>
    <col min="15874" max="15874" width="8.85546875" style="39"/>
    <col min="15875" max="15875" width="8.7109375" style="39" customWidth="1"/>
    <col min="15876" max="15879" width="8.85546875" style="39"/>
    <col min="15880" max="15880" width="8.7109375" style="39" customWidth="1"/>
    <col min="15881" max="15881" width="11.140625" style="39" customWidth="1"/>
    <col min="15882" max="15882" width="13.7109375" style="39" customWidth="1"/>
    <col min="15883" max="16128" width="8.85546875" style="39"/>
    <col min="16129" max="16129" width="10.140625" style="39" customWidth="1"/>
    <col min="16130" max="16130" width="8.85546875" style="39"/>
    <col min="16131" max="16131" width="8.7109375" style="39" customWidth="1"/>
    <col min="16132" max="16135" width="8.85546875" style="39"/>
    <col min="16136" max="16136" width="8.7109375" style="39" customWidth="1"/>
    <col min="16137" max="16137" width="11.140625" style="39" customWidth="1"/>
    <col min="16138" max="16138" width="13.7109375" style="39" customWidth="1"/>
    <col min="16139" max="16384" width="8.85546875" style="39"/>
  </cols>
  <sheetData>
    <row r="1" spans="1:11" x14ac:dyDescent="0.2">
      <c r="B1" s="40"/>
      <c r="C1" s="41"/>
      <c r="D1" s="42" t="s">
        <v>38</v>
      </c>
      <c r="E1" s="42"/>
      <c r="F1" s="42"/>
      <c r="G1" s="42"/>
      <c r="H1" s="43"/>
      <c r="I1" s="41"/>
      <c r="J1" s="44"/>
    </row>
    <row r="2" spans="1:11" x14ac:dyDescent="0.2">
      <c r="A2" s="45" t="s">
        <v>39</v>
      </c>
      <c r="B2" s="46"/>
      <c r="C2" s="140" t="s">
        <v>424</v>
      </c>
      <c r="D2" s="47"/>
      <c r="E2" s="46"/>
      <c r="F2" s="46"/>
      <c r="G2" s="46"/>
      <c r="H2" s="48" t="s">
        <v>40</v>
      </c>
      <c r="I2" s="140" t="s">
        <v>425</v>
      </c>
      <c r="J2" s="49"/>
    </row>
    <row r="3" spans="1:11" x14ac:dyDescent="0.2">
      <c r="A3" s="50"/>
      <c r="B3" s="51"/>
      <c r="C3" s="52"/>
      <c r="D3" s="53"/>
      <c r="E3" s="53"/>
      <c r="F3" s="53"/>
      <c r="G3" s="53"/>
      <c r="H3" s="54"/>
      <c r="I3" s="55" t="s">
        <v>41</v>
      </c>
      <c r="J3" s="56" t="s">
        <v>41</v>
      </c>
    </row>
    <row r="4" spans="1:11" x14ac:dyDescent="0.2">
      <c r="A4" s="57" t="s">
        <v>42</v>
      </c>
      <c r="B4" s="58" t="s">
        <v>43</v>
      </c>
      <c r="C4" s="58"/>
      <c r="D4" s="58">
        <v>720</v>
      </c>
      <c r="E4" s="59"/>
      <c r="F4" s="58"/>
      <c r="G4" s="58"/>
      <c r="H4" s="60"/>
      <c r="I4" s="61" t="s">
        <v>44</v>
      </c>
      <c r="J4" s="62" t="s">
        <v>45</v>
      </c>
    </row>
    <row r="5" spans="1:11" x14ac:dyDescent="0.2">
      <c r="A5" s="74" t="s">
        <v>50</v>
      </c>
      <c r="B5" s="449">
        <f t="shared" ref="B5:J5" si="0">SUM(B6:B69)</f>
        <v>10.65</v>
      </c>
      <c r="C5" s="449">
        <f t="shared" si="0"/>
        <v>1</v>
      </c>
      <c r="D5" s="449">
        <f t="shared" si="0"/>
        <v>0</v>
      </c>
      <c r="E5" s="449">
        <f t="shared" si="0"/>
        <v>0</v>
      </c>
      <c r="F5" s="449">
        <f t="shared" si="0"/>
        <v>0</v>
      </c>
      <c r="G5" s="449">
        <f t="shared" si="0"/>
        <v>0</v>
      </c>
      <c r="H5" s="449">
        <f t="shared" si="0"/>
        <v>0</v>
      </c>
      <c r="I5" s="449">
        <f t="shared" si="0"/>
        <v>11.65</v>
      </c>
      <c r="J5" s="450">
        <f t="shared" si="0"/>
        <v>11.65</v>
      </c>
    </row>
    <row r="6" spans="1:11" x14ac:dyDescent="0.2">
      <c r="A6" s="73">
        <v>2035</v>
      </c>
      <c r="B6" s="451"/>
      <c r="C6" s="451"/>
      <c r="D6" s="451"/>
      <c r="E6" s="451"/>
      <c r="F6" s="452"/>
      <c r="G6" s="453"/>
      <c r="H6" s="454"/>
      <c r="I6" s="455">
        <f t="shared" ref="I6:I34" si="1">IF(AND(SUM(B6:H6)&gt;=1,B6&lt;=1),1,IF((B6&gt;1),B6,SUM(B6:H6)))</f>
        <v>0</v>
      </c>
      <c r="J6" s="456">
        <f t="shared" ref="J6:J32" si="2">SUM(B6:H6)</f>
        <v>0</v>
      </c>
      <c r="K6" s="67"/>
    </row>
    <row r="7" spans="1:11" x14ac:dyDescent="0.2">
      <c r="A7" s="63">
        <v>2034</v>
      </c>
      <c r="B7" s="457"/>
      <c r="C7" s="457"/>
      <c r="D7" s="457"/>
      <c r="E7" s="457"/>
      <c r="F7" s="458"/>
      <c r="G7" s="459"/>
      <c r="H7" s="460"/>
      <c r="I7" s="455">
        <f t="shared" si="1"/>
        <v>0</v>
      </c>
      <c r="J7" s="456">
        <f t="shared" si="2"/>
        <v>0</v>
      </c>
      <c r="K7" s="66"/>
    </row>
    <row r="8" spans="1:11" x14ac:dyDescent="0.2">
      <c r="A8" s="73">
        <v>2033</v>
      </c>
      <c r="B8" s="451"/>
      <c r="C8" s="451"/>
      <c r="D8" s="461"/>
      <c r="E8" s="451"/>
      <c r="F8" s="462"/>
      <c r="G8" s="463"/>
      <c r="H8" s="454"/>
      <c r="I8" s="455">
        <f t="shared" si="1"/>
        <v>0</v>
      </c>
      <c r="J8" s="456">
        <f t="shared" si="2"/>
        <v>0</v>
      </c>
      <c r="K8" s="66"/>
    </row>
    <row r="9" spans="1:11" x14ac:dyDescent="0.2">
      <c r="A9" s="63">
        <v>2032</v>
      </c>
      <c r="B9" s="464"/>
      <c r="C9" s="464"/>
      <c r="D9" s="464"/>
      <c r="E9" s="464"/>
      <c r="F9" s="465"/>
      <c r="G9" s="466"/>
      <c r="H9" s="467"/>
      <c r="I9" s="455">
        <f t="shared" si="1"/>
        <v>0</v>
      </c>
      <c r="J9" s="456">
        <f t="shared" si="2"/>
        <v>0</v>
      </c>
      <c r="K9" s="67"/>
    </row>
    <row r="10" spans="1:11" x14ac:dyDescent="0.2">
      <c r="A10" s="64">
        <v>2031</v>
      </c>
      <c r="B10" s="451"/>
      <c r="C10" s="451"/>
      <c r="D10" s="451"/>
      <c r="E10" s="451"/>
      <c r="F10" s="462"/>
      <c r="G10" s="463"/>
      <c r="H10" s="468"/>
      <c r="I10" s="455">
        <f t="shared" si="1"/>
        <v>0</v>
      </c>
      <c r="J10" s="456">
        <f t="shared" si="2"/>
        <v>0</v>
      </c>
      <c r="K10" s="66"/>
    </row>
    <row r="11" spans="1:11" x14ac:dyDescent="0.2">
      <c r="A11" s="63">
        <v>2030</v>
      </c>
      <c r="B11" s="464"/>
      <c r="C11" s="464"/>
      <c r="D11" s="464"/>
      <c r="E11" s="464"/>
      <c r="F11" s="465"/>
      <c r="G11" s="466"/>
      <c r="H11" s="466"/>
      <c r="I11" s="455">
        <f t="shared" si="1"/>
        <v>0</v>
      </c>
      <c r="J11" s="456">
        <f t="shared" si="2"/>
        <v>0</v>
      </c>
      <c r="K11" s="67"/>
    </row>
    <row r="12" spans="1:11" x14ac:dyDescent="0.2">
      <c r="A12" s="64">
        <v>2029</v>
      </c>
      <c r="B12" s="461"/>
      <c r="C12" s="461"/>
      <c r="D12" s="451"/>
      <c r="E12" s="451"/>
      <c r="F12" s="469"/>
      <c r="G12" s="469"/>
      <c r="H12" s="469"/>
      <c r="I12" s="455">
        <f t="shared" si="1"/>
        <v>0</v>
      </c>
      <c r="J12" s="456">
        <f t="shared" si="2"/>
        <v>0</v>
      </c>
      <c r="K12" s="66"/>
    </row>
    <row r="13" spans="1:11" x14ac:dyDescent="0.2">
      <c r="A13" s="63">
        <v>2028</v>
      </c>
      <c r="B13" s="457"/>
      <c r="C13" s="457"/>
      <c r="D13" s="457"/>
      <c r="E13" s="457"/>
      <c r="F13" s="457"/>
      <c r="G13" s="457"/>
      <c r="H13" s="457"/>
      <c r="I13" s="455">
        <f t="shared" si="1"/>
        <v>0</v>
      </c>
      <c r="J13" s="456">
        <f t="shared" si="2"/>
        <v>0</v>
      </c>
      <c r="K13" s="66"/>
    </row>
    <row r="14" spans="1:11" x14ac:dyDescent="0.2">
      <c r="A14" s="73">
        <v>2027</v>
      </c>
      <c r="B14" s="470"/>
      <c r="C14" s="470"/>
      <c r="D14" s="470"/>
      <c r="E14" s="470"/>
      <c r="F14" s="470"/>
      <c r="G14" s="470"/>
      <c r="H14" s="470"/>
      <c r="I14" s="455">
        <f t="shared" si="1"/>
        <v>0</v>
      </c>
      <c r="J14" s="456">
        <f t="shared" si="2"/>
        <v>0</v>
      </c>
      <c r="K14" s="66"/>
    </row>
    <row r="15" spans="1:11" x14ac:dyDescent="0.2">
      <c r="A15" s="63">
        <v>2026</v>
      </c>
      <c r="B15" s="457"/>
      <c r="C15" s="457"/>
      <c r="D15" s="457"/>
      <c r="E15" s="457"/>
      <c r="F15" s="457"/>
      <c r="G15" s="457"/>
      <c r="H15" s="457"/>
      <c r="I15" s="455">
        <f t="shared" si="1"/>
        <v>0</v>
      </c>
      <c r="J15" s="456">
        <f t="shared" si="2"/>
        <v>0</v>
      </c>
      <c r="K15" s="66"/>
    </row>
    <row r="16" spans="1:11" x14ac:dyDescent="0.2">
      <c r="A16" s="64">
        <v>2025</v>
      </c>
      <c r="B16" s="451">
        <v>0.67</v>
      </c>
      <c r="C16" s="470"/>
      <c r="D16" s="451"/>
      <c r="E16" s="451"/>
      <c r="F16" s="451"/>
      <c r="G16" s="451"/>
      <c r="H16" s="451"/>
      <c r="I16" s="455">
        <f t="shared" si="1"/>
        <v>0.67</v>
      </c>
      <c r="J16" s="456">
        <f t="shared" si="2"/>
        <v>0.67</v>
      </c>
      <c r="K16" s="66"/>
    </row>
    <row r="17" spans="1:29" x14ac:dyDescent="0.2">
      <c r="A17" s="63">
        <v>2024</v>
      </c>
      <c r="B17" s="464">
        <v>0.33</v>
      </c>
      <c r="C17" s="464"/>
      <c r="D17" s="464"/>
      <c r="E17" s="464"/>
      <c r="F17" s="464"/>
      <c r="G17" s="464"/>
      <c r="H17" s="464"/>
      <c r="I17" s="455">
        <f t="shared" si="1"/>
        <v>0.33</v>
      </c>
      <c r="J17" s="456">
        <f t="shared" si="2"/>
        <v>0.33</v>
      </c>
      <c r="K17" s="66"/>
    </row>
    <row r="18" spans="1:29" x14ac:dyDescent="0.2">
      <c r="A18" s="64">
        <v>2023</v>
      </c>
      <c r="B18" s="471">
        <v>0.75</v>
      </c>
      <c r="C18" s="472"/>
      <c r="D18" s="472"/>
      <c r="E18" s="472"/>
      <c r="F18" s="472"/>
      <c r="G18" s="472"/>
      <c r="H18" s="472"/>
      <c r="I18" s="455">
        <f t="shared" si="1"/>
        <v>0.75</v>
      </c>
      <c r="J18" s="456">
        <f t="shared" si="2"/>
        <v>0.75</v>
      </c>
      <c r="K18" s="66"/>
    </row>
    <row r="19" spans="1:29" s="69" customFormat="1" x14ac:dyDescent="0.2">
      <c r="A19" s="63">
        <v>2022</v>
      </c>
      <c r="B19" s="473"/>
      <c r="C19" s="473"/>
      <c r="D19" s="473"/>
      <c r="E19" s="473"/>
      <c r="F19" s="473"/>
      <c r="G19" s="473"/>
      <c r="H19" s="473"/>
      <c r="I19" s="455">
        <f t="shared" si="1"/>
        <v>0</v>
      </c>
      <c r="J19" s="456">
        <f t="shared" si="2"/>
        <v>0</v>
      </c>
    </row>
    <row r="20" spans="1:29" x14ac:dyDescent="0.2">
      <c r="A20" s="73">
        <v>2021</v>
      </c>
      <c r="B20" s="470"/>
      <c r="C20" s="470"/>
      <c r="D20" s="470"/>
      <c r="E20" s="470"/>
      <c r="F20" s="470"/>
      <c r="G20" s="470"/>
      <c r="H20" s="470"/>
      <c r="I20" s="455">
        <f t="shared" si="1"/>
        <v>0</v>
      </c>
      <c r="J20" s="456">
        <f t="shared" si="2"/>
        <v>0</v>
      </c>
      <c r="K20" s="67"/>
    </row>
    <row r="21" spans="1:29" x14ac:dyDescent="0.2">
      <c r="A21" s="63">
        <v>2020</v>
      </c>
      <c r="B21" s="464">
        <v>0.25</v>
      </c>
      <c r="C21" s="464"/>
      <c r="D21" s="464"/>
      <c r="E21" s="464"/>
      <c r="F21" s="464"/>
      <c r="G21" s="464"/>
      <c r="H21" s="464"/>
      <c r="I21" s="455">
        <f t="shared" si="1"/>
        <v>0.25</v>
      </c>
      <c r="J21" s="456">
        <f t="shared" si="2"/>
        <v>0.25</v>
      </c>
      <c r="K21" s="67"/>
    </row>
    <row r="22" spans="1:29" x14ac:dyDescent="0.2">
      <c r="A22" s="64">
        <v>2019</v>
      </c>
      <c r="B22" s="470">
        <v>0.42</v>
      </c>
      <c r="C22" s="470"/>
      <c r="D22" s="470"/>
      <c r="E22" s="470"/>
      <c r="F22" s="470"/>
      <c r="G22" s="470"/>
      <c r="H22" s="470"/>
      <c r="I22" s="455">
        <f t="shared" si="1"/>
        <v>0.42</v>
      </c>
      <c r="J22" s="456">
        <f t="shared" si="2"/>
        <v>0.42</v>
      </c>
      <c r="K22" s="66"/>
    </row>
    <row r="23" spans="1:29" s="70" customFormat="1" x14ac:dyDescent="0.2">
      <c r="A23" s="63">
        <v>2018</v>
      </c>
      <c r="B23" s="464">
        <v>0.42</v>
      </c>
      <c r="C23" s="464"/>
      <c r="D23" s="464"/>
      <c r="E23" s="464"/>
      <c r="F23" s="464"/>
      <c r="G23" s="464"/>
      <c r="H23" s="464"/>
      <c r="I23" s="455">
        <f t="shared" si="1"/>
        <v>0.42</v>
      </c>
      <c r="J23" s="456">
        <f t="shared" si="2"/>
        <v>0.42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</row>
    <row r="24" spans="1:29" s="70" customFormat="1" x14ac:dyDescent="0.2">
      <c r="A24" s="64">
        <v>2017</v>
      </c>
      <c r="B24" s="470">
        <v>0.33</v>
      </c>
      <c r="C24" s="470"/>
      <c r="D24" s="470"/>
      <c r="E24" s="470"/>
      <c r="F24" s="470"/>
      <c r="G24" s="470"/>
      <c r="H24" s="470"/>
      <c r="I24" s="455">
        <f t="shared" si="1"/>
        <v>0.33</v>
      </c>
      <c r="J24" s="456">
        <f t="shared" si="2"/>
        <v>0.33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</row>
    <row r="25" spans="1:29" s="70" customFormat="1" x14ac:dyDescent="0.2">
      <c r="A25" s="63">
        <v>2016</v>
      </c>
      <c r="B25" s="464">
        <v>0.33</v>
      </c>
      <c r="C25" s="474"/>
      <c r="D25" s="464"/>
      <c r="E25" s="464"/>
      <c r="F25" s="464"/>
      <c r="G25" s="464"/>
      <c r="H25" s="464"/>
      <c r="I25" s="455">
        <f t="shared" si="1"/>
        <v>0.33</v>
      </c>
      <c r="J25" s="456">
        <f t="shared" si="2"/>
        <v>0.33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</row>
    <row r="26" spans="1:29" s="70" customFormat="1" x14ac:dyDescent="0.2">
      <c r="A26" s="68" t="s">
        <v>49</v>
      </c>
      <c r="B26" s="472"/>
      <c r="C26" s="471"/>
      <c r="D26" s="472"/>
      <c r="E26" s="472"/>
      <c r="F26" s="472"/>
      <c r="G26" s="472"/>
      <c r="H26" s="472"/>
      <c r="I26" s="455">
        <f t="array" ref="I26">IF(SUM(B26:B27)&gt;=1,B26,IF(SUM(B26:H26+B27:H27)&gt;=1,SUM(B26:H26/SUM(B26:H26+B27:H27)),SUM(B26:H26)))</f>
        <v>0</v>
      </c>
      <c r="J26" s="456">
        <f t="shared" si="2"/>
        <v>0</v>
      </c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</row>
    <row r="27" spans="1:29" x14ac:dyDescent="0.2">
      <c r="A27" s="65" t="s">
        <v>48</v>
      </c>
      <c r="B27" s="457"/>
      <c r="C27" s="473"/>
      <c r="D27" s="457"/>
      <c r="E27" s="457"/>
      <c r="F27" s="457"/>
      <c r="G27" s="457"/>
      <c r="H27" s="457"/>
      <c r="I27" s="455">
        <f t="array" ref="I27">IF(SUM(B26:B27)&gt;=1,B27,IF(SUM(B26:H26+B27:H27)&gt;=1,SUM(B27:H27/SUM(B26:H26+B27:H27)),SUM(B27:H27)))</f>
        <v>0</v>
      </c>
      <c r="J27" s="456">
        <f t="shared" si="2"/>
        <v>0</v>
      </c>
    </row>
    <row r="28" spans="1:29" x14ac:dyDescent="0.2">
      <c r="A28" s="64">
        <v>2014</v>
      </c>
      <c r="B28" s="470"/>
      <c r="C28" s="470">
        <v>1</v>
      </c>
      <c r="D28" s="470"/>
      <c r="E28" s="470"/>
      <c r="F28" s="470"/>
      <c r="G28" s="470"/>
      <c r="H28" s="470"/>
      <c r="I28" s="455">
        <f t="shared" si="1"/>
        <v>1</v>
      </c>
      <c r="J28" s="456">
        <f t="shared" si="2"/>
        <v>1</v>
      </c>
    </row>
    <row r="29" spans="1:29" x14ac:dyDescent="0.2">
      <c r="A29" s="71">
        <v>2013</v>
      </c>
      <c r="B29" s="455"/>
      <c r="C29" s="455"/>
      <c r="D29" s="455"/>
      <c r="E29" s="455"/>
      <c r="F29" s="455"/>
      <c r="G29" s="455"/>
      <c r="H29" s="455"/>
      <c r="I29" s="455">
        <f t="shared" si="1"/>
        <v>0</v>
      </c>
      <c r="J29" s="456">
        <f t="shared" si="2"/>
        <v>0</v>
      </c>
    </row>
    <row r="30" spans="1:29" x14ac:dyDescent="0.2">
      <c r="A30" s="64" t="s">
        <v>47</v>
      </c>
      <c r="B30" s="470">
        <v>0.08</v>
      </c>
      <c r="C30" s="470"/>
      <c r="D30" s="470"/>
      <c r="E30" s="470"/>
      <c r="F30" s="470"/>
      <c r="G30" s="470"/>
      <c r="H30" s="470"/>
      <c r="I30" s="455">
        <f t="array" ref="I30">IF(SUM(B30:B31)&gt;=1,B30,IF(SUM(B30:H30+B31:H31)&gt;=1,SUM(B30:H30/SUM(B30:H30+B31:H31)),SUM(B30:H30)))</f>
        <v>0.08</v>
      </c>
      <c r="J30" s="456">
        <f t="shared" si="2"/>
        <v>0.08</v>
      </c>
    </row>
    <row r="31" spans="1:29" x14ac:dyDescent="0.2">
      <c r="A31" s="71" t="s">
        <v>46</v>
      </c>
      <c r="B31" s="455">
        <v>0.33</v>
      </c>
      <c r="C31" s="455"/>
      <c r="D31" s="455"/>
      <c r="E31" s="455"/>
      <c r="F31" s="455"/>
      <c r="G31" s="455"/>
      <c r="H31" s="455"/>
      <c r="I31" s="455">
        <f t="array" ref="I31">IF(SUM(B30:B31)&gt;=1,B31,IF(SUM(B30:H30+B31:H31)&gt;=1,SUM(B31:H31/SUM(B30:H30+B31:H31)),SUM(B31:H31)))</f>
        <v>0.33</v>
      </c>
      <c r="J31" s="456">
        <f t="shared" si="2"/>
        <v>0.33</v>
      </c>
    </row>
    <row r="32" spans="1:29" x14ac:dyDescent="0.2">
      <c r="A32" s="64">
        <v>2011</v>
      </c>
      <c r="B32" s="470">
        <v>0.57999999999999996</v>
      </c>
      <c r="C32" s="470"/>
      <c r="D32" s="470"/>
      <c r="E32" s="470"/>
      <c r="F32" s="470"/>
      <c r="G32" s="470"/>
      <c r="H32" s="470"/>
      <c r="I32" s="455">
        <f t="shared" si="1"/>
        <v>0.57999999999999996</v>
      </c>
      <c r="J32" s="456">
        <f t="shared" si="2"/>
        <v>0.57999999999999996</v>
      </c>
    </row>
    <row r="33" spans="1:11" x14ac:dyDescent="0.2">
      <c r="A33" s="71">
        <v>2010</v>
      </c>
      <c r="B33" s="455">
        <v>0.83</v>
      </c>
      <c r="C33" s="475"/>
      <c r="D33" s="455"/>
      <c r="E33" s="455"/>
      <c r="F33" s="455"/>
      <c r="G33" s="455"/>
      <c r="H33" s="455"/>
      <c r="I33" s="455">
        <f t="shared" si="1"/>
        <v>0.83</v>
      </c>
      <c r="J33" s="456">
        <f>SUM(B33:H33)</f>
        <v>0.83</v>
      </c>
    </row>
    <row r="34" spans="1:11" x14ac:dyDescent="0.2">
      <c r="A34" s="64">
        <v>2009</v>
      </c>
      <c r="B34" s="470"/>
      <c r="C34" s="476"/>
      <c r="D34" s="470"/>
      <c r="E34" s="470"/>
      <c r="F34" s="470"/>
      <c r="G34" s="470"/>
      <c r="H34" s="470"/>
      <c r="I34" s="455">
        <f t="shared" si="1"/>
        <v>0</v>
      </c>
      <c r="J34" s="456">
        <f t="shared" ref="J34:J42" si="3">SUM(B34:H34)</f>
        <v>0</v>
      </c>
    </row>
    <row r="35" spans="1:11" x14ac:dyDescent="0.2">
      <c r="A35" s="71">
        <v>2008</v>
      </c>
      <c r="B35" s="455">
        <v>1.08</v>
      </c>
      <c r="C35" s="475"/>
      <c r="D35" s="455"/>
      <c r="E35" s="455"/>
      <c r="F35" s="455"/>
      <c r="G35" s="455"/>
      <c r="H35" s="455"/>
      <c r="I35" s="455">
        <f>IF(AND(SUM(B35:H35)&gt;=1,B35&lt;=1),1,IF((B35&gt;1),B35,SUM(B35:H35)))</f>
        <v>1.08</v>
      </c>
      <c r="J35" s="456">
        <f t="shared" si="3"/>
        <v>1.08</v>
      </c>
    </row>
    <row r="36" spans="1:11" x14ac:dyDescent="0.2">
      <c r="A36" s="64">
        <v>2007</v>
      </c>
      <c r="B36" s="470">
        <v>1</v>
      </c>
      <c r="C36" s="476"/>
      <c r="D36" s="470"/>
      <c r="E36" s="470"/>
      <c r="F36" s="470"/>
      <c r="G36" s="470"/>
      <c r="H36" s="470"/>
      <c r="I36" s="455">
        <f t="shared" ref="I36:I69" si="4">IF(AND(SUM(B36:H36)&gt;=1,B36&lt;=1),1,IF((B36&gt;1),B36,SUM(B36:H36)))</f>
        <v>1</v>
      </c>
      <c r="J36" s="456">
        <f t="shared" si="3"/>
        <v>1</v>
      </c>
    </row>
    <row r="37" spans="1:11" x14ac:dyDescent="0.2">
      <c r="A37" s="71">
        <v>2006</v>
      </c>
      <c r="B37" s="455">
        <v>0.67</v>
      </c>
      <c r="C37" s="475"/>
      <c r="D37" s="455"/>
      <c r="E37" s="455"/>
      <c r="F37" s="455"/>
      <c r="G37" s="455"/>
      <c r="H37" s="455"/>
      <c r="I37" s="455">
        <f t="shared" si="4"/>
        <v>0.67</v>
      </c>
      <c r="J37" s="456">
        <f t="shared" si="3"/>
        <v>0.67</v>
      </c>
    </row>
    <row r="38" spans="1:11" x14ac:dyDescent="0.2">
      <c r="A38" s="64">
        <v>2005</v>
      </c>
      <c r="B38" s="470">
        <v>1</v>
      </c>
      <c r="C38" s="476"/>
      <c r="D38" s="470"/>
      <c r="E38" s="470"/>
      <c r="F38" s="470"/>
      <c r="G38" s="470"/>
      <c r="H38" s="470"/>
      <c r="I38" s="455">
        <f t="shared" si="4"/>
        <v>1</v>
      </c>
      <c r="J38" s="456">
        <f t="shared" si="3"/>
        <v>1</v>
      </c>
    </row>
    <row r="39" spans="1:11" x14ac:dyDescent="0.2">
      <c r="A39" s="71">
        <v>2004</v>
      </c>
      <c r="B39" s="455">
        <v>1.08</v>
      </c>
      <c r="C39" s="475"/>
      <c r="D39" s="455"/>
      <c r="E39" s="455"/>
      <c r="F39" s="455"/>
      <c r="G39" s="455"/>
      <c r="H39" s="455"/>
      <c r="I39" s="455">
        <f t="shared" si="4"/>
        <v>1.08</v>
      </c>
      <c r="J39" s="456">
        <f>SUM(B39:H39)</f>
        <v>1.08</v>
      </c>
    </row>
    <row r="40" spans="1:11" x14ac:dyDescent="0.2">
      <c r="A40" s="64">
        <v>2003</v>
      </c>
      <c r="B40" s="470">
        <v>0.5</v>
      </c>
      <c r="C40" s="476"/>
      <c r="D40" s="470"/>
      <c r="E40" s="470"/>
      <c r="F40" s="470"/>
      <c r="G40" s="470"/>
      <c r="H40" s="470"/>
      <c r="I40" s="455">
        <f t="shared" si="4"/>
        <v>0.5</v>
      </c>
      <c r="J40" s="456">
        <f>SUM(B40:H40)</f>
        <v>0.5</v>
      </c>
    </row>
    <row r="41" spans="1:11" x14ac:dyDescent="0.2">
      <c r="A41" s="71">
        <v>2002</v>
      </c>
      <c r="B41" s="455"/>
      <c r="C41" s="475"/>
      <c r="D41" s="455"/>
      <c r="E41" s="455"/>
      <c r="F41" s="455"/>
      <c r="G41" s="455"/>
      <c r="H41" s="455"/>
      <c r="I41" s="455">
        <f t="shared" si="4"/>
        <v>0</v>
      </c>
      <c r="J41" s="456">
        <f t="shared" si="3"/>
        <v>0</v>
      </c>
      <c r="K41" s="72"/>
    </row>
    <row r="42" spans="1:11" x14ac:dyDescent="0.2">
      <c r="A42" s="73">
        <v>2001</v>
      </c>
      <c r="B42" s="477"/>
      <c r="C42" s="478"/>
      <c r="D42" s="477"/>
      <c r="E42" s="477"/>
      <c r="F42" s="477"/>
      <c r="G42" s="477"/>
      <c r="H42" s="477"/>
      <c r="I42" s="455">
        <f t="shared" si="4"/>
        <v>0</v>
      </c>
      <c r="J42" s="456">
        <f t="shared" si="3"/>
        <v>0</v>
      </c>
      <c r="K42" s="72"/>
    </row>
    <row r="43" spans="1:11" x14ac:dyDescent="0.2">
      <c r="A43" s="71">
        <v>2000</v>
      </c>
      <c r="B43" s="455"/>
      <c r="C43" s="475"/>
      <c r="D43" s="455"/>
      <c r="E43" s="455"/>
      <c r="F43" s="455"/>
      <c r="G43" s="455"/>
      <c r="H43" s="455"/>
      <c r="I43" s="455">
        <f t="shared" si="4"/>
        <v>0</v>
      </c>
      <c r="J43" s="456">
        <f t="shared" ref="J43:J69" si="5">SUM(B43:H43)</f>
        <v>0</v>
      </c>
    </row>
    <row r="44" spans="1:11" x14ac:dyDescent="0.2">
      <c r="A44" s="64">
        <v>1999</v>
      </c>
      <c r="B44" s="477"/>
      <c r="C44" s="478"/>
      <c r="D44" s="477"/>
      <c r="E44" s="477"/>
      <c r="F44" s="477"/>
      <c r="G44" s="477"/>
      <c r="H44" s="477"/>
      <c r="I44" s="455">
        <f t="shared" si="4"/>
        <v>0</v>
      </c>
      <c r="J44" s="456">
        <f t="shared" si="5"/>
        <v>0</v>
      </c>
    </row>
    <row r="45" spans="1:11" x14ac:dyDescent="0.2">
      <c r="A45" s="71">
        <v>1998</v>
      </c>
      <c r="B45" s="455"/>
      <c r="C45" s="475"/>
      <c r="D45" s="455"/>
      <c r="E45" s="455"/>
      <c r="F45" s="455"/>
      <c r="G45" s="455"/>
      <c r="H45" s="455"/>
      <c r="I45" s="455">
        <f t="shared" si="4"/>
        <v>0</v>
      </c>
      <c r="J45" s="456">
        <f t="shared" si="5"/>
        <v>0</v>
      </c>
    </row>
    <row r="46" spans="1:11" x14ac:dyDescent="0.2">
      <c r="A46" s="64">
        <v>1997</v>
      </c>
      <c r="B46" s="477"/>
      <c r="C46" s="478"/>
      <c r="D46" s="477"/>
      <c r="E46" s="477"/>
      <c r="F46" s="477"/>
      <c r="G46" s="477"/>
      <c r="H46" s="477"/>
      <c r="I46" s="455">
        <f t="shared" si="4"/>
        <v>0</v>
      </c>
      <c r="J46" s="456">
        <f t="shared" si="5"/>
        <v>0</v>
      </c>
    </row>
    <row r="47" spans="1:11" x14ac:dyDescent="0.2">
      <c r="A47" s="71">
        <v>1996</v>
      </c>
      <c r="B47" s="455"/>
      <c r="C47" s="475"/>
      <c r="D47" s="455"/>
      <c r="E47" s="455"/>
      <c r="F47" s="455"/>
      <c r="G47" s="455"/>
      <c r="H47" s="455"/>
      <c r="I47" s="455">
        <f t="shared" si="4"/>
        <v>0</v>
      </c>
      <c r="J47" s="456">
        <f t="shared" si="5"/>
        <v>0</v>
      </c>
    </row>
    <row r="48" spans="1:11" x14ac:dyDescent="0.2">
      <c r="A48" s="64">
        <v>1995</v>
      </c>
      <c r="B48" s="477"/>
      <c r="C48" s="478"/>
      <c r="D48" s="477"/>
      <c r="E48" s="477"/>
      <c r="F48" s="477"/>
      <c r="G48" s="477"/>
      <c r="H48" s="477"/>
      <c r="I48" s="455">
        <f t="shared" si="4"/>
        <v>0</v>
      </c>
      <c r="J48" s="456">
        <f t="shared" si="5"/>
        <v>0</v>
      </c>
    </row>
    <row r="49" spans="1:10" x14ac:dyDescent="0.2">
      <c r="A49" s="71">
        <v>1994</v>
      </c>
      <c r="B49" s="455"/>
      <c r="C49" s="475"/>
      <c r="D49" s="455"/>
      <c r="E49" s="455"/>
      <c r="F49" s="455"/>
      <c r="G49" s="455"/>
      <c r="H49" s="455"/>
      <c r="I49" s="455">
        <f t="shared" si="4"/>
        <v>0</v>
      </c>
      <c r="J49" s="456">
        <f t="shared" si="5"/>
        <v>0</v>
      </c>
    </row>
    <row r="50" spans="1:10" x14ac:dyDescent="0.2">
      <c r="A50" s="64">
        <v>1993</v>
      </c>
      <c r="B50" s="477"/>
      <c r="C50" s="478"/>
      <c r="D50" s="477"/>
      <c r="E50" s="477"/>
      <c r="F50" s="477"/>
      <c r="G50" s="477"/>
      <c r="H50" s="477"/>
      <c r="I50" s="455">
        <f t="shared" si="4"/>
        <v>0</v>
      </c>
      <c r="J50" s="456">
        <f t="shared" si="5"/>
        <v>0</v>
      </c>
    </row>
    <row r="51" spans="1:10" x14ac:dyDescent="0.2">
      <c r="A51" s="71">
        <v>1992</v>
      </c>
      <c r="B51" s="455"/>
      <c r="C51" s="475"/>
      <c r="D51" s="455"/>
      <c r="E51" s="455"/>
      <c r="F51" s="455"/>
      <c r="G51" s="455"/>
      <c r="H51" s="455"/>
      <c r="I51" s="455">
        <f t="shared" si="4"/>
        <v>0</v>
      </c>
      <c r="J51" s="456">
        <f t="shared" si="5"/>
        <v>0</v>
      </c>
    </row>
    <row r="52" spans="1:10" x14ac:dyDescent="0.2">
      <c r="A52" s="73">
        <v>1991</v>
      </c>
      <c r="B52" s="477"/>
      <c r="C52" s="478"/>
      <c r="D52" s="477"/>
      <c r="E52" s="477"/>
      <c r="F52" s="477"/>
      <c r="G52" s="477"/>
      <c r="H52" s="477"/>
      <c r="I52" s="455">
        <f t="shared" si="4"/>
        <v>0</v>
      </c>
      <c r="J52" s="456">
        <f t="shared" si="5"/>
        <v>0</v>
      </c>
    </row>
    <row r="53" spans="1:10" x14ac:dyDescent="0.2">
      <c r="A53" s="71">
        <v>1990</v>
      </c>
      <c r="B53" s="455"/>
      <c r="C53" s="475"/>
      <c r="D53" s="455"/>
      <c r="E53" s="455"/>
      <c r="F53" s="455"/>
      <c r="G53" s="455"/>
      <c r="H53" s="455"/>
      <c r="I53" s="455">
        <f t="shared" si="4"/>
        <v>0</v>
      </c>
      <c r="J53" s="456">
        <f t="shared" si="5"/>
        <v>0</v>
      </c>
    </row>
    <row r="54" spans="1:10" x14ac:dyDescent="0.2">
      <c r="A54" s="64">
        <v>1989</v>
      </c>
      <c r="B54" s="477"/>
      <c r="C54" s="478"/>
      <c r="D54" s="477"/>
      <c r="E54" s="477"/>
      <c r="F54" s="477"/>
      <c r="G54" s="477"/>
      <c r="H54" s="477"/>
      <c r="I54" s="455">
        <f t="shared" si="4"/>
        <v>0</v>
      </c>
      <c r="J54" s="456">
        <f t="shared" si="5"/>
        <v>0</v>
      </c>
    </row>
    <row r="55" spans="1:10" x14ac:dyDescent="0.2">
      <c r="A55" s="71">
        <v>1988</v>
      </c>
      <c r="B55" s="455"/>
      <c r="C55" s="475"/>
      <c r="D55" s="455"/>
      <c r="E55" s="455"/>
      <c r="F55" s="455"/>
      <c r="G55" s="455"/>
      <c r="H55" s="455"/>
      <c r="I55" s="455">
        <f t="shared" si="4"/>
        <v>0</v>
      </c>
      <c r="J55" s="456">
        <f t="shared" si="5"/>
        <v>0</v>
      </c>
    </row>
    <row r="56" spans="1:10" x14ac:dyDescent="0.2">
      <c r="A56" s="64">
        <v>1987</v>
      </c>
      <c r="B56" s="477"/>
      <c r="C56" s="478"/>
      <c r="D56" s="477"/>
      <c r="E56" s="477"/>
      <c r="F56" s="477"/>
      <c r="G56" s="477"/>
      <c r="H56" s="477"/>
      <c r="I56" s="455">
        <f t="shared" si="4"/>
        <v>0</v>
      </c>
      <c r="J56" s="456">
        <f t="shared" si="5"/>
        <v>0</v>
      </c>
    </row>
    <row r="57" spans="1:10" x14ac:dyDescent="0.2">
      <c r="A57" s="71">
        <v>1986</v>
      </c>
      <c r="B57" s="455"/>
      <c r="C57" s="475"/>
      <c r="D57" s="455"/>
      <c r="E57" s="455"/>
      <c r="F57" s="455"/>
      <c r="G57" s="455"/>
      <c r="H57" s="455"/>
      <c r="I57" s="455">
        <f t="shared" si="4"/>
        <v>0</v>
      </c>
      <c r="J57" s="456">
        <f t="shared" si="5"/>
        <v>0</v>
      </c>
    </row>
    <row r="58" spans="1:10" x14ac:dyDescent="0.2">
      <c r="A58" s="64">
        <v>1985</v>
      </c>
      <c r="B58" s="477"/>
      <c r="C58" s="478"/>
      <c r="D58" s="477"/>
      <c r="E58" s="477"/>
      <c r="F58" s="477"/>
      <c r="G58" s="477"/>
      <c r="H58" s="477"/>
      <c r="I58" s="455">
        <f t="shared" si="4"/>
        <v>0</v>
      </c>
      <c r="J58" s="456">
        <f t="shared" si="5"/>
        <v>0</v>
      </c>
    </row>
    <row r="59" spans="1:10" x14ac:dyDescent="0.2">
      <c r="A59" s="71">
        <v>1984</v>
      </c>
      <c r="B59" s="455"/>
      <c r="C59" s="475"/>
      <c r="D59" s="455"/>
      <c r="E59" s="455"/>
      <c r="F59" s="455"/>
      <c r="G59" s="455"/>
      <c r="H59" s="455"/>
      <c r="I59" s="455">
        <f t="shared" si="4"/>
        <v>0</v>
      </c>
      <c r="J59" s="456">
        <f t="shared" si="5"/>
        <v>0</v>
      </c>
    </row>
    <row r="60" spans="1:10" x14ac:dyDescent="0.2">
      <c r="A60" s="64">
        <v>1983</v>
      </c>
      <c r="B60" s="477"/>
      <c r="C60" s="478"/>
      <c r="D60" s="477"/>
      <c r="E60" s="477"/>
      <c r="F60" s="477"/>
      <c r="G60" s="477"/>
      <c r="H60" s="477"/>
      <c r="I60" s="455">
        <f t="shared" si="4"/>
        <v>0</v>
      </c>
      <c r="J60" s="456">
        <f t="shared" si="5"/>
        <v>0</v>
      </c>
    </row>
    <row r="61" spans="1:10" x14ac:dyDescent="0.2">
      <c r="A61" s="71">
        <v>1982</v>
      </c>
      <c r="B61" s="455"/>
      <c r="C61" s="475"/>
      <c r="D61" s="455"/>
      <c r="E61" s="455"/>
      <c r="F61" s="455"/>
      <c r="G61" s="455"/>
      <c r="H61" s="455"/>
      <c r="I61" s="455">
        <f t="shared" si="4"/>
        <v>0</v>
      </c>
      <c r="J61" s="456">
        <f t="shared" si="5"/>
        <v>0</v>
      </c>
    </row>
    <row r="62" spans="1:10" x14ac:dyDescent="0.2">
      <c r="A62" s="64">
        <v>1981</v>
      </c>
      <c r="B62" s="477"/>
      <c r="C62" s="478"/>
      <c r="D62" s="477"/>
      <c r="E62" s="477"/>
      <c r="F62" s="477"/>
      <c r="G62" s="477"/>
      <c r="H62" s="477"/>
      <c r="I62" s="455">
        <f t="shared" si="4"/>
        <v>0</v>
      </c>
      <c r="J62" s="456">
        <f t="shared" si="5"/>
        <v>0</v>
      </c>
    </row>
    <row r="63" spans="1:10" x14ac:dyDescent="0.2">
      <c r="A63" s="71">
        <v>1980</v>
      </c>
      <c r="B63" s="455"/>
      <c r="C63" s="475"/>
      <c r="D63" s="455"/>
      <c r="E63" s="455"/>
      <c r="F63" s="455"/>
      <c r="G63" s="455"/>
      <c r="H63" s="455"/>
      <c r="I63" s="455">
        <f t="shared" si="4"/>
        <v>0</v>
      </c>
      <c r="J63" s="456">
        <f t="shared" si="5"/>
        <v>0</v>
      </c>
    </row>
    <row r="64" spans="1:10" x14ac:dyDescent="0.2">
      <c r="A64" s="64">
        <v>1979</v>
      </c>
      <c r="B64" s="477"/>
      <c r="C64" s="478"/>
      <c r="D64" s="477"/>
      <c r="E64" s="477"/>
      <c r="F64" s="477"/>
      <c r="G64" s="477"/>
      <c r="H64" s="477"/>
      <c r="I64" s="455">
        <f t="shared" si="4"/>
        <v>0</v>
      </c>
      <c r="J64" s="456">
        <f t="shared" si="5"/>
        <v>0</v>
      </c>
    </row>
    <row r="65" spans="1:10" x14ac:dyDescent="0.2">
      <c r="A65" s="71">
        <v>1978</v>
      </c>
      <c r="B65" s="455"/>
      <c r="C65" s="475"/>
      <c r="D65" s="455"/>
      <c r="E65" s="455"/>
      <c r="F65" s="455"/>
      <c r="G65" s="455"/>
      <c r="H65" s="455"/>
      <c r="I65" s="455">
        <f t="shared" si="4"/>
        <v>0</v>
      </c>
      <c r="J65" s="456">
        <f t="shared" si="5"/>
        <v>0</v>
      </c>
    </row>
    <row r="66" spans="1:10" x14ac:dyDescent="0.2">
      <c r="A66" s="64">
        <v>1977</v>
      </c>
      <c r="B66" s="477"/>
      <c r="C66" s="478"/>
      <c r="D66" s="477"/>
      <c r="E66" s="477"/>
      <c r="F66" s="477"/>
      <c r="G66" s="477"/>
      <c r="H66" s="477"/>
      <c r="I66" s="455">
        <f t="shared" si="4"/>
        <v>0</v>
      </c>
      <c r="J66" s="456">
        <f t="shared" si="5"/>
        <v>0</v>
      </c>
    </row>
    <row r="67" spans="1:10" x14ac:dyDescent="0.2">
      <c r="A67" s="71">
        <v>1976</v>
      </c>
      <c r="B67" s="455"/>
      <c r="C67" s="475"/>
      <c r="D67" s="455"/>
      <c r="E67" s="455"/>
      <c r="F67" s="455"/>
      <c r="G67" s="455"/>
      <c r="H67" s="455"/>
      <c r="I67" s="455">
        <f t="shared" si="4"/>
        <v>0</v>
      </c>
      <c r="J67" s="456">
        <f t="shared" si="5"/>
        <v>0</v>
      </c>
    </row>
    <row r="68" spans="1:10" x14ac:dyDescent="0.2">
      <c r="A68" s="64">
        <v>1975</v>
      </c>
      <c r="B68" s="477"/>
      <c r="C68" s="478"/>
      <c r="D68" s="477"/>
      <c r="E68" s="477"/>
      <c r="F68" s="477"/>
      <c r="G68" s="477"/>
      <c r="H68" s="477"/>
      <c r="I68" s="455">
        <f t="shared" si="4"/>
        <v>0</v>
      </c>
      <c r="J68" s="456">
        <f t="shared" si="5"/>
        <v>0</v>
      </c>
    </row>
    <row r="69" spans="1:10" x14ac:dyDescent="0.2">
      <c r="A69" s="71">
        <v>1974</v>
      </c>
      <c r="B69" s="455"/>
      <c r="C69" s="475"/>
      <c r="D69" s="455"/>
      <c r="E69" s="455"/>
      <c r="F69" s="455"/>
      <c r="G69" s="455"/>
      <c r="H69" s="455"/>
      <c r="I69" s="455">
        <f t="shared" si="4"/>
        <v>0</v>
      </c>
      <c r="J69" s="456">
        <f t="shared" si="5"/>
        <v>0</v>
      </c>
    </row>
    <row r="70" spans="1:10" x14ac:dyDescent="0.2">
      <c r="D70" s="75"/>
    </row>
    <row r="71" spans="1:10" x14ac:dyDescent="0.2">
      <c r="D71" s="75"/>
    </row>
    <row r="72" spans="1:10" x14ac:dyDescent="0.2">
      <c r="D72" s="75"/>
    </row>
  </sheetData>
  <sheetProtection selectLockedCells="1"/>
  <pageMargins left="0.5" right="0.25" top="0.5" bottom="0.25" header="0.5" footer="0.5"/>
  <pageSetup scale="7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30A7-45C7-4F60-BCFB-E6A4A2BAAD17}">
  <dimension ref="A1:R61"/>
  <sheetViews>
    <sheetView topLeftCell="A9" zoomScaleNormal="100" workbookViewId="0">
      <selection activeCell="J5" sqref="J5"/>
    </sheetView>
  </sheetViews>
  <sheetFormatPr defaultColWidth="9.140625" defaultRowHeight="13.5" x14ac:dyDescent="0.25"/>
  <cols>
    <col min="1" max="1" width="15.85546875" style="1" customWidth="1"/>
    <col min="2" max="2" width="17" style="1" customWidth="1"/>
    <col min="3" max="3" width="19.42578125" style="1" customWidth="1"/>
    <col min="4" max="5" width="10.85546875" style="1" customWidth="1"/>
    <col min="6" max="6" width="15.85546875" style="1" customWidth="1"/>
    <col min="7" max="7" width="15.7109375" style="1" bestFit="1" customWidth="1"/>
    <col min="8" max="8" width="10.85546875" style="1" customWidth="1"/>
    <col min="9" max="9" width="11.28515625" style="1" customWidth="1"/>
    <col min="10" max="10" width="10.7109375" style="1" customWidth="1"/>
    <col min="11" max="11" width="15.42578125" style="1" customWidth="1"/>
    <col min="12" max="12" width="17.7109375" style="1" customWidth="1"/>
    <col min="13" max="13" width="12.7109375" style="1" bestFit="1" customWidth="1"/>
    <col min="14" max="14" width="10.42578125" style="1" bestFit="1" customWidth="1"/>
    <col min="15" max="15" width="11.85546875" style="1" customWidth="1"/>
    <col min="16" max="16" width="12.85546875" style="1" customWidth="1"/>
    <col min="17" max="17" width="13.85546875" style="1" customWidth="1"/>
    <col min="18" max="18" width="13.140625" style="1" customWidth="1"/>
    <col min="19" max="19" width="15.85546875" style="1" customWidth="1"/>
    <col min="20" max="20" width="11.85546875" style="1" bestFit="1" customWidth="1"/>
    <col min="21" max="21" width="13.42578125" style="1" bestFit="1" customWidth="1"/>
    <col min="22" max="22" width="12.7109375" style="1" bestFit="1" customWidth="1"/>
    <col min="23" max="16384" width="9.140625" style="1"/>
  </cols>
  <sheetData>
    <row r="1" spans="1:18" x14ac:dyDescent="0.25">
      <c r="A1" s="531" t="s">
        <v>100</v>
      </c>
      <c r="B1" s="531"/>
      <c r="C1" s="531"/>
      <c r="D1" s="531"/>
      <c r="E1" s="531"/>
      <c r="F1" s="531"/>
      <c r="G1" s="531"/>
      <c r="H1" s="531"/>
      <c r="I1" s="531"/>
      <c r="J1" s="531" t="s">
        <v>100</v>
      </c>
      <c r="K1" s="531"/>
      <c r="L1" s="531"/>
      <c r="M1" s="531"/>
      <c r="N1" s="531"/>
      <c r="O1" s="531"/>
      <c r="P1" s="531"/>
      <c r="Q1" s="531"/>
      <c r="R1" s="531"/>
    </row>
    <row r="2" spans="1:18" x14ac:dyDescent="0.25">
      <c r="A2" s="1" t="s">
        <v>1</v>
      </c>
      <c r="C2" s="226" t="s">
        <v>487</v>
      </c>
      <c r="E2" s="1" t="s">
        <v>0</v>
      </c>
      <c r="F2" s="543" t="s">
        <v>488</v>
      </c>
      <c r="G2" s="543"/>
      <c r="K2" s="78" t="s">
        <v>30</v>
      </c>
      <c r="L2" s="78"/>
      <c r="M2" s="554" t="s">
        <v>102</v>
      </c>
      <c r="N2" s="554"/>
    </row>
    <row r="3" spans="1:18" x14ac:dyDescent="0.25">
      <c r="A3" s="1" t="s">
        <v>6</v>
      </c>
      <c r="C3" s="227">
        <v>23303</v>
      </c>
      <c r="F3" s="119"/>
      <c r="H3" s="119"/>
    </row>
    <row r="4" spans="1:18" x14ac:dyDescent="0.25">
      <c r="A4" s="1" t="s">
        <v>2</v>
      </c>
      <c r="C4" s="20" t="str">
        <f>DATEDIF(C3,C5,"y")&amp;"/"&amp;(DATEDIF(C3,C5, "m") - (DATEDIF(C3,C5, "y") * 12))</f>
        <v>65/0</v>
      </c>
      <c r="E4" s="2"/>
      <c r="F4" s="20"/>
      <c r="H4" s="20"/>
      <c r="K4" s="78" t="s">
        <v>92</v>
      </c>
      <c r="L4" s="78"/>
      <c r="M4" s="555">
        <f ca="1">TODAY()</f>
        <v>46164</v>
      </c>
      <c r="N4" s="555"/>
    </row>
    <row r="5" spans="1:18" x14ac:dyDescent="0.25">
      <c r="A5" s="1" t="s">
        <v>7</v>
      </c>
      <c r="C5" s="227">
        <v>47058</v>
      </c>
      <c r="F5" s="119"/>
      <c r="H5" s="119"/>
    </row>
    <row r="6" spans="1:18" x14ac:dyDescent="0.25">
      <c r="A6" s="1" t="s">
        <v>3</v>
      </c>
      <c r="C6" s="228"/>
      <c r="F6" s="2"/>
      <c r="H6" s="2"/>
      <c r="I6" s="2"/>
      <c r="J6" s="2"/>
      <c r="K6" s="78" t="s">
        <v>31</v>
      </c>
      <c r="L6" s="78"/>
      <c r="M6" s="78"/>
      <c r="N6" s="78"/>
    </row>
    <row r="7" spans="1:18" x14ac:dyDescent="0.25">
      <c r="A7" s="1" t="s">
        <v>5</v>
      </c>
      <c r="C7" s="227"/>
    </row>
    <row r="8" spans="1:18" ht="14.65" customHeight="1" thickBot="1" x14ac:dyDescent="0.3">
      <c r="A8" s="19" t="s">
        <v>4</v>
      </c>
      <c r="B8" s="19"/>
      <c r="C8" s="20" t="str">
        <f>IF(COUNTIF(C7,""),"",DATEDIF(C7,C5,"y")&amp;"/"&amp;(DATEDIF(C7,C5,"m")-(DATEDIF(C7,C5,"y")*12)))</f>
        <v/>
      </c>
      <c r="E8" s="539" t="str">
        <f>IF(C7=0,"","Spouse Age Difference from Member:")</f>
        <v/>
      </c>
      <c r="F8" s="539"/>
      <c r="G8" s="539"/>
      <c r="H8" s="12" t="str">
        <f>IF(C7=0,"",IF(AND(C3-C7&lt;0,(DATEDIF(C3,C5,"m")-(DATEDIF(C3,C5,"y")*12))-(DATEDIF(C7,C5,"m")-(DATEDIF(C7,C5,"y")*12))=0),DATEDIF(C3,C5,"y")-DATEDIF(C7,C5,"y"),IF(AND(C3-C7&gt;0,(DATEDIF(C7,C5,"m")-(DATEDIF(C7,C5,"y")*12))-(DATEDIF(C3,C5,"m")-(DATEDIF(C3,C5,"y")*12))=0),DATEDIF(C7,C5,"y")-DATEDIF(C3,C5,"y"),IF(C3-C7&lt;0,ROUNDDOWN(YEARFRAC(C3,C7),0),IF(C3-C7&gt;0,ROUNDDOWN(YEARFRAC(C7,C3),0),0)))))</f>
        <v/>
      </c>
      <c r="I8" s="1" t="str">
        <f>IF(C7=0,"",IF(H8=0,"No Difference.",IF(C3-C7&lt;0,"Year(s) Younger.", IF(C3-C7&gt;0, "Year(s) Older.","No Difference."))))</f>
        <v/>
      </c>
      <c r="K8" s="78" t="s">
        <v>92</v>
      </c>
      <c r="L8" s="78"/>
      <c r="M8" s="78"/>
      <c r="N8" s="78"/>
    </row>
    <row r="9" spans="1:18" ht="15.75" customHeight="1" thickBot="1" x14ac:dyDescent="0.3">
      <c r="A9" s="532" t="s">
        <v>8</v>
      </c>
      <c r="B9" s="533"/>
      <c r="C9" s="533"/>
      <c r="D9" s="533"/>
      <c r="E9" s="533"/>
      <c r="F9" s="533"/>
      <c r="G9" s="533"/>
      <c r="H9" s="533"/>
      <c r="I9" s="534"/>
      <c r="J9" s="540" t="s">
        <v>319</v>
      </c>
      <c r="K9" s="541"/>
      <c r="L9" s="541"/>
      <c r="M9" s="541"/>
      <c r="N9" s="542"/>
      <c r="O9" s="540" t="str">
        <f>IF(COUNTIF(C7,""),"",IF(COUNTIF(J9,"1.*"),"Early Retirement H&amp;W Pension Options",IF(COUNTIF(J9,"2.*"),"Regular at 62 H&amp;W Pension Options",IF(COUNTIF(J9,"3.*"),"Regular at 62 &amp; Early H&amp;W Pension Options",IF(COUNTIF(J9,"4.*"),"Regular at 62 &amp; Disability H&amp;W Pension Options",IF(COUNTIF(J9,"5.*"),"Regular at 65 H&amp;W Pension Options",IF(COUNTIF(J9,"6.*"),"Disability H&amp;W Pension Options",IF(COUNTIF(J9,"7.*"),"Service Pre-Age 55 &amp; Early H&amp;W Pension Options",IF(COUNTIF(J9,"8.*"),"Service Pre-Age 55 &amp; Disability H&amp;W Pension Options",IF(COUNTIF(J9,"9.*"),"Service H&amp;W Pension Options",L44&amp;" Delayed H&amp;W Options"))))))))))</f>
        <v/>
      </c>
      <c r="P9" s="541"/>
      <c r="Q9" s="541"/>
      <c r="R9" s="542"/>
    </row>
    <row r="10" spans="1:18" ht="30.6" customHeight="1" thickBot="1" x14ac:dyDescent="0.3">
      <c r="A10" s="123" t="s">
        <v>103</v>
      </c>
      <c r="B10" s="124" t="str">
        <f>IF(COUNTIF(A34,"1.*"),"During AP 1 Marriage","")</f>
        <v/>
      </c>
      <c r="C10" s="124" t="str">
        <f>IF(COUNTIF(A34,"1.*"),"AP 1 Credits","")</f>
        <v/>
      </c>
      <c r="D10" s="124" t="str">
        <f>IF(COUNTIF(E34,"1.*"),"During AP 2 Marriage","")</f>
        <v/>
      </c>
      <c r="E10" s="124" t="str">
        <f>IF(COUNTIF(E34,"1.*"),"AP 2 Credits","")</f>
        <v/>
      </c>
      <c r="F10" s="124" t="s">
        <v>9</v>
      </c>
      <c r="G10" s="124" t="s">
        <v>182</v>
      </c>
      <c r="H10" s="124" t="str">
        <f>IF(COUNTIF(A34,"1.*"),"AP 1 Value","")</f>
        <v/>
      </c>
      <c r="I10" s="125" t="str">
        <f>IF(COUNTIF(E34,"1.*"),"AP 2 Value","")</f>
        <v/>
      </c>
      <c r="J10" s="540" t="s">
        <v>14</v>
      </c>
      <c r="K10" s="541"/>
      <c r="L10" s="541"/>
      <c r="M10" s="541"/>
      <c r="N10" s="542"/>
      <c r="O10" s="11" t="str">
        <f>IF(COUNTIF(C7,""),"","Option")</f>
        <v/>
      </c>
      <c r="P10" s="10" t="str">
        <f>IF(COUNTIF(C7,""),"","Factor")</f>
        <v/>
      </c>
      <c r="Q10" s="10" t="str">
        <f>IF(COUNTIF(C7,""),"","Member Benefit")</f>
        <v/>
      </c>
      <c r="R10" s="15" t="str">
        <f>IF(COUNTIF(C7,""),"","Spouse Benefit")</f>
        <v/>
      </c>
    </row>
    <row r="11" spans="1:18" x14ac:dyDescent="0.25">
      <c r="A11" s="186"/>
      <c r="B11" s="238"/>
      <c r="C11" s="136" t="str">
        <f>IF(COUNTIF(A34,"1.*"),B11*D39,"")</f>
        <v/>
      </c>
      <c r="D11" s="150"/>
      <c r="E11" s="136" t="str">
        <f>IF(COUNTIF(E34,"1.*"),D11*H39,"")</f>
        <v/>
      </c>
      <c r="F11" s="234"/>
      <c r="G11" s="126">
        <f>IF(AND(COUNTIF(A34,"1.*"),COUNTIF(E34,"1.*")),SUM(A11*F11)-((C11*F11)+(E11*F11)),IF(COUNTIF(A34,"1.*"),SUM(A11*F11)-(C11*F11),IF(COUNTIF(E34,"1.*"),SUM(A11*F11)-(E11*F11),A11*F11)))</f>
        <v>0</v>
      </c>
      <c r="H11" s="31" t="str">
        <f>IF(COUNTIF(A34,"1.*"),SUM(C11*F11),"")</f>
        <v/>
      </c>
      <c r="I11" s="133" t="str">
        <f>IF(COUNTIF(E34,"1.*"),SUM(E11*F11),"")</f>
        <v/>
      </c>
      <c r="J11" s="212" t="s">
        <v>184</v>
      </c>
      <c r="K11" s="213"/>
      <c r="L11" s="213"/>
      <c r="M11" s="219">
        <f>SUM(A11:A16)</f>
        <v>15.51</v>
      </c>
      <c r="N11" s="88">
        <f>SUM(A11*F11,A12*F12,A13*F13,A14*F14,A15*F15,A16*F16)</f>
        <v>1848.87</v>
      </c>
      <c r="O11" s="162" t="str">
        <f>IF(COUNTIF(C7,""),"","50%")</f>
        <v/>
      </c>
      <c r="P11" s="163" t="str">
        <f>IF(COUNTIF(C7,""),"",IF(COUNTIF(J9,"4.*"),IF(COUNTIF(I8,"*Younger*"),100%-8%-(H8*0.4%),IF(100%-8%+(H8*0.4%)&gt;100%,100%,100%-8%+(H8*0.4%)))*100&amp;"% / "&amp;IF(COUNTIF(I8,"*Younger*"),100%-18%-(H8*0.4%),IF(100%-18%+(H8*0.4%)&gt;100%,100%,100%-18%+(H8*0.4%)))*100&amp;"%",IF(COUNTIF(J9,"6.*"),IF(COUNTIF(I8,"*Younger*"),100%-18%-(H8*0.4%),IF(100%-18%+(H8*0.4%)&gt;100%,100%,100%-18%+(H8*0.4%))),IF(COUNTIF(J9,"8.*"),IF(COUNTIF(I8,"*Younger*"),100%-8%-(H8*0.4%),IF(100%-8%+(H8*0.4%)&gt;100%,100%,100%-8%+(H8*0.4%)))*100&amp;"% / "&amp;IF(COUNTIF(I8,"*Younger*"),100%-18%-(H8*0.4%),IF(100%-18%+(H8*0.4%)&gt;100%,100%,100%-18%+(H8*0.4%)))*100&amp;"%",IF(COUNTIF(I8,"*Younger*"),100%-8%-(H8*0.4%),IF(100%-8%+(H8*0.4%)&gt;100%,100%,100%-8%+(H8*0.4%)))))))</f>
        <v/>
      </c>
      <c r="Q11" s="164" t="str">
        <f>IF(COUNTIF(C7,""),"",IF(COUNTIF(J9,"1.*"),(N40)*P11,IF(COUNTIF(J9,"2.*"),(N40)*P11,IF(COUNTIF(J9,"3.*"),(N40)*P11,IF(COUNTIF(J9,"5.*"),(N40)*P11,IF(COUNTIF(J9,"6.*"),(N40)*P11,IF(COUNTIF(J9,"7.*"),(N40)*P11,IF(COUNTIF(J9,"8.*"),(N11+N12)*IF(COUNTIF(I8,"*Younger*"),100%-8%-(H8*0.4%),IF(100%-8%+(H8*0.4%)&gt;100%,100%,100%-8%+(H8*0.4%)))+(N13*IF(COUNTIF(I8,"*Younger*"),100%-18%-(H8*0.4%),IF(100%-18%+(H8*0.4%)&gt;100%,100%,100%-18%+(H8*0.4%)))),IF(COUNTIF(J9,"4.*"),N11*IF(COUNTIF(I8,"*Younger*"),100%-8%-(H8*0.4%),IF(100%-8%+(H8*0.4%)&gt;100%,100%,100%-8%+(H8*0.4%)))+(N12+N13)*IF(COUNTIF(I8,"*Younger*"),100%-18%-(H8*0.4%),IF(100%-18%+(H8*0.4%)&gt;100%,100%,100%-18%+(H8*0.4%))),IF(COUNTIF(J9,"9.*"),(N40)*P11,IF(COUNTIF(J9,"10.*"),M44*P11,"")))))))))))</f>
        <v/>
      </c>
      <c r="R11" s="165" t="str">
        <f>IF(COUNTIF(C7,""),"",Q11*O11)</f>
        <v/>
      </c>
    </row>
    <row r="12" spans="1:18" x14ac:dyDescent="0.25">
      <c r="A12" s="232"/>
      <c r="B12" s="239"/>
      <c r="C12" s="137" t="str">
        <f>IF(COUNTIF(A34,"1.*"),B12*D39,"")</f>
        <v/>
      </c>
      <c r="D12" s="151"/>
      <c r="E12" s="137" t="str">
        <f>IF(COUNTIF(E34,"1.*"),D12*H39,"")</f>
        <v/>
      </c>
      <c r="F12" s="235"/>
      <c r="G12" s="126">
        <f>IF(AND(COUNTIF(A34,"1.*"),COUNTIF(E34,"1.*")),SUM(A12*F12)-((C12*F12)+(E12*F12)),IF(COUNTIF(A34,"1.*"),SUM(A12*F12)-(C12*F12),IF(COUNTIF(E34,"1.*"),SUM(A12*F12)-(E12*F12),A12*F12)))</f>
        <v>0</v>
      </c>
      <c r="H12" s="31" t="str">
        <f>IF(COUNTIF(A34,"1.*"),SUM(C12*F12),"")</f>
        <v/>
      </c>
      <c r="I12" s="126" t="str">
        <f>IF(COUNTIF(E34,"1.*"),SUM(E12*F12),"")</f>
        <v/>
      </c>
      <c r="J12" s="77" t="str">
        <f>IF(COUNTIF(J9,"2.*"),"","Full Benefit from 09/01/2011 to 09/30/2014:")</f>
        <v>Full Benefit from 09/01/2011 to 09/30/2014:</v>
      </c>
      <c r="M12" s="112">
        <f>IF(COUNTIF(J9,"2.*"),"",SUM(A19:A20))</f>
        <v>3</v>
      </c>
      <c r="N12" s="5">
        <f>IF(COUNTIF(J9,"2.*"),"",SUM(A19*F19,A20*F20))</f>
        <v>375</v>
      </c>
      <c r="O12" s="166" t="str">
        <f>IF(COUNTIF(C7,""),"","13th Check")</f>
        <v/>
      </c>
      <c r="P12" s="163" t="str">
        <f>IF(COUNTIF(C7,""),"",IF(COUNTIF(J9,"4.*"),IF(COUNTIF(I8,"*Younger*"),100%-8%-(H8*0.4%),IF(100%-8%+(H8*0.4%)&gt;100%,100%,100%-8%+(H8*0.4%)))*100&amp;"% / "&amp;IF(COUNTIF(I8,"*Younger*"),100%-18%-(H8*0.4%),IF(100%-18%+(H8*0.4%)&gt;100%,100%,100%-18%+(H8*0.4%)))*100&amp;"%",IF(COUNTIF(J9,"6.*"),IF(COUNTIF(I8,"*Younger*"),100%-18%-(H8*0.4%),IF(100%-18%+(H8*0.4%)&gt;100%,100%,100%-18%+(H8*0.4%))),IF(COUNTIF(J9,"8.*"),IF(COUNTIF(I8,"*Younger*"),100%-8%-(H8*0.4%),IF(100%-8%+(H8*0.4%)&gt;100%,100%,100%-8%+(H8*0.4%)))*100&amp;"% / "&amp;IF(COUNTIF(I8,"*Younger*"),100%-18%-(H8*0.4%),IF(100%-18%+(H8*0.4%)&gt;100%,100%,100%-18%+(H8*0.4%)))*100&amp;"%",IF(COUNTIF(I8,"*Younger*"),100%-8%-(H8*0.4%),IF(100%-8%+(H8*0.4%)&gt;100%,100%,100%-8%+(H8*0.4%)))))))</f>
        <v/>
      </c>
      <c r="Q12" s="164" t="str">
        <f>IF(COUNTIF(C7,""),"",IF(COUNTIF(J9,"1.*"),(N41)*P12,IF(COUNTIF(J9,"2.*"),(N41)*P12,IF(COUNTIF(J9,"3.*"),(N41)*P12,IF(COUNTIF(J9,"5.*"),(N41)*P12,IF(COUNTIF(J9,"6.*"),(N41)*P12,IF(COUNTIF(J9,"7.*"),(N41)*P12,IF(COUNTIF(J9,"8.*"),(N11+N12)*IF(COUNTIF(I8,"*Younger*"),100%-8%-(H8*0.4%),IF(100%-8%+(H8*0.4%)&gt;100%,100%,100%-8%+(H8*0.4%))),IF(COUNTIF(J9,"4.*"),N11*IF(COUNTIF(I8,"*Younger*"),100%-8%-(H8*0.4%),IF(100%-8%+(H8*0.4%)&gt;100%,100%,100%-8%+(H8*0.4%)))+(N12)*IF(COUNTIF(I8,"*Younger*"),100%-18%-(H8*0.4%),IF(100%-18%+(H8*0.4%)&gt;100%,100%,100%-18%+(H8*0.4%))),IF(COUNTIF(J9,"9.*"),(N41)*P12,IF(COUNTIF(J9,"10.*"),IF(COUNTIF(L44,"*1*"),M24*P12,M41*P12),"")))))))))))</f>
        <v/>
      </c>
      <c r="R12" s="165" t="str">
        <f>IF(COUNTIF(C7,""),"",Q12*O11)</f>
        <v/>
      </c>
    </row>
    <row r="13" spans="1:18" x14ac:dyDescent="0.25">
      <c r="A13" s="232"/>
      <c r="B13" s="239"/>
      <c r="C13" s="137" t="str">
        <f>IF(COUNTIF(A34,"1.*"),B13*D39,"")</f>
        <v/>
      </c>
      <c r="D13" s="151"/>
      <c r="E13" s="137" t="str">
        <f>IF(COUNTIF(E34,"1.*"),D13*H39,"")</f>
        <v/>
      </c>
      <c r="F13" s="235">
        <v>90</v>
      </c>
      <c r="G13" s="126">
        <f>IF(AND(COUNTIF(A34,"1.*"),COUNTIF(E34,"1.*")),SUM(A13*F13)-((C13*F13)+(E13*F13)),IF(COUNTIF(A34,"1.*"),SUM(A13*F13)-(C13*F13),IF(COUNTIF(E34,"1.*"),SUM(A13*F13)-(E13*F13),A13*F13)))</f>
        <v>0</v>
      </c>
      <c r="H13" s="31" t="str">
        <f>IF(COUNTIF(A34,"1.*"),ROUND(C13*F13,2),"")</f>
        <v/>
      </c>
      <c r="I13" s="126" t="str">
        <f>IF(COUNTIF(E34,"1.*"),SUM(E13*F13),"")</f>
        <v/>
      </c>
      <c r="J13" s="96" t="str">
        <f>IF(COUNTIF(J9,"2.*"),"","Full Benefit on and After 10/01/2014:")</f>
        <v>Full Benefit on and After 10/01/2014:</v>
      </c>
      <c r="K13" s="2"/>
      <c r="L13" s="2"/>
      <c r="M13" s="112">
        <f>IF(COUNTIF(J9,"2.*"),"",IF(COUNTIF(J9,"10.*"),SUM(A23:A25,A29:A31),SUM(A23:A25)))</f>
        <v>12.5</v>
      </c>
      <c r="N13" s="5">
        <f>IF(COUNTIF(J9,"2.*"),"",IF(COUNTIF(J9,"10.*"),SUM(A23*F23,A24*F24,A25*F25,A29*F29,A30*F30,A31*F31),SUM(A23*F23,A24*F24,A25*F25)))</f>
        <v>1687.5</v>
      </c>
      <c r="O13" s="162" t="str">
        <f>IF(COUNTIF(C7,""),"","75%")</f>
        <v/>
      </c>
      <c r="P13" s="163" t="str">
        <f>IF(COUNTIF(C7,""),"",IF(COUNTIF(J9,"4.*"),IF(COUNTIF(I8,"*Younger*"),100%-12%-(H8*0.4%),IF(100%-12%+(H8*0.4%)&gt;100%,100%,100%-12%+(H8*0.4%)))*100&amp;"% / "&amp;IF(COUNTIF(I8,"*Younger*"),100%-24%-(H8*0.4%),IF(100%-24%+(H8*0.4%)&gt;100%,100%,100%-24%+(H8*0.4%)))*100&amp;"%",IF(COUNTIF(J9,"6.*"),IF(COUNTIF(I8,"*Younger*"),100%-24%-(H8*0.4%),IF(100%-24%+(H8*0.4%)&gt;100%,100%,100%-24%+(H8*0.4%))),IF(COUNTIF(J9,"8.*"),IF(COUNTIF(I8,"*Younger*"),100%-12%-(H8*0.4%),IF(100%-12%+(H8*0.4%)&gt;100%,100%,100%-12%+(H8*0.4%)))*100&amp;"% / "&amp;IF(COUNTIF(I8,"*Younger*"),100%-24%-(H8*0.4%),IF(100%-24%+(H8*0.4%)&gt;100%,100%,100%-24%+(H8*0.4%)))*100&amp;"%",IF(COUNTIF(I8,"*Younger*"),100%-12%-(H8*0.4%),IF(100%-12%+(H8*0.4%)&gt;100%,100%,100%-12%+(H8*0.4%)))))))</f>
        <v/>
      </c>
      <c r="Q13" s="164" t="str">
        <f>IF(COUNTIF(C7,""),"",IF(COUNTIF(J9,"1.*"),(N40)*P13,IF(COUNTIF(J9,"2.*"),(N40)*P13,IF(COUNTIF(J9,"3.*"),(N40)*P13,IF(COUNTIF(J9,"5.*"),(N40)*P13,IF(COUNTIF(J9,"6.*"),(N40)*P13,IF(COUNTIF(J9,"7.*"),(N40)*P13,IF(COUNTIF(J9,"8.*"),(N11+N12)*IF(COUNTIF(I8,"*Younger*"),100%-12%-(H8*0.4%),IF(100%-12%+(H8*0.4%)&gt;100%,100%,100%-12%+(H8*0.4%)))+(N13*IF(COUNTIF(I8,"*Younger*"),100%-24%-(H8*0.4%),IF(100%-24%+(H8*0.4%)&gt;100%,100%,100%-24%+(H8*0.4%)))),IF(COUNTIF(J9,"4.*"),N11*IF(COUNTIF(I8,"*Younger*"),100%-12%-(H8*0.4%),IF(100%-12%+(H8*0.4%)&gt;100%,100%,100%-12%+(H8*0.4%)))+(N12+N13)*IF(COUNTIF(I8,"*Younger*"),100%-24%-(H8*0.4%),IF(100%-24%+(H8*0.4%)&gt;100%,100%,100%-24%+(H8*0.4%))),IF(COUNTIF(J9,"9.*"),(N40)*P13,IF(COUNTIF(J9,"10.*"),M44*P13,"")))))))))))</f>
        <v/>
      </c>
      <c r="R13" s="165" t="str">
        <f>IF(COUNTIF(C7,""),"",Q13*O13)</f>
        <v/>
      </c>
    </row>
    <row r="14" spans="1:18" x14ac:dyDescent="0.25">
      <c r="A14" s="232">
        <v>12.84</v>
      </c>
      <c r="B14" s="239"/>
      <c r="C14" s="137" t="str">
        <f>IF(COUNTIF(A34,"1.*"),B14*D39,"")</f>
        <v/>
      </c>
      <c r="D14" s="151"/>
      <c r="E14" s="137" t="str">
        <f>IF(COUNTIF(E34,"1.*"),D14*H39,"")</f>
        <v/>
      </c>
      <c r="F14" s="126">
        <v>118</v>
      </c>
      <c r="G14" s="126">
        <f>IF(AND(COUNTIF(A34,"1.*"),COUNTIF(E34,"1.*")),ROUND(A14*F14,2)-(ROUND(C14*F14,2)+ROUND(E14*F14,2)),IF(COUNTIF(A34,"1.*"),ROUND(A14*F14,2)-ROUND(C14*F14,2),IF(COUNTIF(E34,"1.*"),ROUND(A14*F14,2)-ROUND(E14*F14,2),ROUND(A14*F14,2))))</f>
        <v>1515.12</v>
      </c>
      <c r="H14" s="31" t="str">
        <f>IF(COUNTIF(A34,"1.*"),ROUND(C14*F14,2),"")</f>
        <v/>
      </c>
      <c r="I14" s="126" t="str">
        <f>IF(COUNTIF(E34,"1.*"),SUM(E14*F14),"")</f>
        <v/>
      </c>
      <c r="J14" s="77" t="s">
        <v>183</v>
      </c>
      <c r="M14" s="191">
        <f>SUM(M11:M13)</f>
        <v>31.009999999999998</v>
      </c>
      <c r="N14" s="5">
        <f>SUM(N11:N13)</f>
        <v>3911.37</v>
      </c>
      <c r="O14" s="166" t="str">
        <f>IF(COUNTIF(C7,""),"","13th Check")</f>
        <v/>
      </c>
      <c r="P14" s="163" t="str">
        <f>IF(COUNTIF(C7,""),"",IF(COUNTIF(J9,"4.*"),IF(COUNTIF(I8,"*Younger*"),100%-12%-(H8*0.4%),IF(100%-12%+(H8*0.4%)&gt;100%,100%,100%-12%+(H8*0.4%)))*100&amp;"% / "&amp;IF(COUNTIF(I8,"*Younger*"),100%-24%-(H8*0.4%),IF(100%-24%+(H8*0.4%)&gt;100%,100%,100%-24%+(H8*0.4%)))*100&amp;"%",IF(COUNTIF(J9,"6.*"),IF(COUNTIF(I8,"*Younger*"),100%-24%-(H8*0.4%),IF(100%-24%+(H8*0.4%)&gt;100%,100%,100%-24%+(H8*0.4%))),IF(COUNTIF(J9,"8.*"),IF(COUNTIF(I8,"*Younger*"),100%-12%-(H8*0.4%),IF(100%-12%+(H8*0.4%)&gt;100%,100%,100%-12%+(H8*0.4%)))*100&amp;"% / "&amp;IF(COUNTIF(I8,"*Younger*"),100%-24%-(H8*0.4%),IF(100%-24%+(H8*0.4%)&gt;100%,100%,100%-24%+(H8*0.4%)))*100&amp;"%",IF(COUNTIF(I8,"*Younger*"),100%-12%-(H8*0.4%),IF(100%-12%+(H8*0.4%)&gt;100%,100%,100%-12%+(H8*0.4%)))))))</f>
        <v/>
      </c>
      <c r="Q14" s="164" t="str">
        <f>IF(COUNTIF(C7,""),"",IF(COUNTIF(J9,"1.*"),(N41)*P14,IF(COUNTIF(J9,"2.*"),(N41)*P14,IF(COUNTIF(J9,"3.*"),(N41)*P14,IF(COUNTIF(J9,"5.*"),(N41)*P14,IF(COUNTIF(J9,"6.*"),(N41)*P14,IF(COUNTIF(J9,"7.*"),(N41)*P14,IF(COUNTIF(J9,"8.*"),(N11+N12)*IF(COUNTIF(I8,"*Younger*"),100%-12%-(H8*0.4%),IF(100%-12%+(H8*0.4%)&gt;100%,100%,100%-12%+(H8*0.4%))),IF(COUNTIF(J9,"4.*"),N11*IF(COUNTIF(I8,"*Younger*"),100%-12%-(H8*0.4%),IF(100%-12%+(H8*0.4%)&gt;100%,100%,100%-12%+(H8*0.4%)))+(N12)*IF(COUNTIF(I8,"*Younger*"),100%-24%-(H8*0.4%),IF(100%-24%+(H8*0.4%)&gt;100%,100%,100%-24%+(H8*0.4%))),IF(COUNTIF(J9,"9.*"),(N41)*P14,IF(COUNTIF(J9,"10.*"),IF(COUNTIF(L44,"*1*"),M24*P14,M41*P14),"")))))))))))</f>
        <v/>
      </c>
      <c r="R14" s="165" t="str">
        <f>IF(COUNTIF(C7,""),"",Q14*O13)</f>
        <v/>
      </c>
    </row>
    <row r="15" spans="1:18" x14ac:dyDescent="0.25">
      <c r="A15" s="232"/>
      <c r="B15" s="239"/>
      <c r="C15" s="137" t="str">
        <f>IF(COUNTIF(A34,"1.*"),B15*D39,"")</f>
        <v/>
      </c>
      <c r="D15" s="151"/>
      <c r="E15" s="137" t="str">
        <f>IF(COUNTIF(E34,"1.*"),D15*H39,"")</f>
        <v/>
      </c>
      <c r="F15" s="126">
        <v>105</v>
      </c>
      <c r="G15" s="126">
        <f>IF(AND(COUNTIF(A34,"1.*"),COUNTIF(E34,"1.*")),ROUND(A15*F15,2)-(ROUND(C15*F15,2)+ROUND(E15*F15,2)),IF(COUNTIF(A34,"1.*"),ROUND(A15*F15,2)-ROUND(C15*F15,2),IF(COUNTIF(E34,"1.*"),ROUND(A15*F15,2)-ROUND(E15*F15,2),ROUND(A15*F15,2))))</f>
        <v>0</v>
      </c>
      <c r="H15" s="31" t="str">
        <f>IF(COUNTIF(A34,"1.*"),ROUND(C15*F15,2),"")</f>
        <v/>
      </c>
      <c r="I15" s="126" t="str">
        <f>IF(COUNTIF(E34,"1.*"),SUM(E15*F15),"")</f>
        <v/>
      </c>
      <c r="J15" s="556" t="str">
        <f>IF(COUNTIF(J9,"10.*"),"Delayed Retirement Calculation 1","")</f>
        <v/>
      </c>
      <c r="K15" s="557"/>
      <c r="L15" s="557"/>
      <c r="M15" s="557"/>
      <c r="N15" s="558"/>
      <c r="O15" s="162" t="str">
        <f>IF(COUNTIF(C7,""),"","100%")</f>
        <v/>
      </c>
      <c r="P15" s="163" t="str">
        <f>IF(COUNTIF(C7,""),"",IF(COUNTIF(J9,"4.*"),IF(COUNTIF(I8,"*Younger*"),100%-15%-(H8*0.5%),IF(100%-15%+(H8*0.5%)&gt;100%,100%,100%-15%+(H8*0.5%)))*100&amp;"% / "&amp;IF(COUNTIF(I8,"*Younger*"),100%-30%-(H8*0.5%),IF(100%-30%+(H8*0.5%)&gt;100%,100%,100%-30%+(H8*0.5%)))*100&amp;"%",IF(COUNTIF(J9,"6.*"),IF(COUNTIF(I8,"*Younger*"),100%-30%-(H8*0.5%),IF(100%-30%+(H8*0.5%)&gt;100%,100%,100%-30%+(H8*0.5%))),IF(COUNTIF(J9,"8.*"),IF(COUNTIF(I8,"*Younger*"),100%-15%-(H8*0.5%),IF(100%-15%+(H8*0.5%)&gt;100%,100%,100%-15%+(H8*0.5%)))*100&amp;"% / "&amp;IF(COUNTIF(I8,"*Younger*"),100%-30%-(H8*0.5%),IF(100%-30%+(H8*0.5%)&gt;100%,100%,100%-30%+(H8*0.5%)))*100&amp;"%",IF(COUNTIF(I8,"*Younger*"),100%-15%-(H8*0.5%),IF(100%-15%+(H8*0.5%)&gt;100%,100%,100%-15%+(H8*0.5%)))))))</f>
        <v/>
      </c>
      <c r="Q15" s="164" t="str">
        <f>IF(COUNTIF(C7,""),"",IF(COUNTIF(J9,"1.*"),(N40)*P15,IF(COUNTIF(J9,"2.*"),(N40)*P15,IF(COUNTIF(J9,"3.*"),(N40)*P15,IF(COUNTIF(J9,"5.*"),(N40)*P15,IF(COUNTIF(J9,"6.*"),(N40)*P15,IF(COUNTIF(J9,"7.*"),(N40)*P15,IF(COUNTIF(J9,"8.*"),(N11+N12)*IF(COUNTIF(I8,"*Younger*"),100%-15%-(H8*0.5%),IF(100%-15%+(H8*0.5%)&gt;100%,100%,100%-15%+(H8*0.5%)))+(N13*IF(COUNTIF(I8,"*Younger*"),100%-30%-(H8*0.5%),IF(100%-30%+(H8*0.5%)&gt;100%,100%,100%-30%+(H8*0.5%)))),IF(COUNTIF(J9,"4.*"),N11*IF(COUNTIF(I8,"*Younger*"),100%-15%-(H8*0.5%),IF(100%-15%+(H8*0.5%)&gt;100%,100%,100%-15%+(H8*0.5%)))+(N12+N13)*IF(COUNTIF(I8,"*Younger*"),100%-30%-(H8*0.5%),IF(100%-30%+(H8*0.5%)&gt;100%,100%,100%-30%+(H8*0.5%))),IF(COUNTIF(J9,"9.*"),(N40)*P15,IF(COUNTIF(J9,"10.*"),M44*P15,"")))))))))))</f>
        <v/>
      </c>
      <c r="R15" s="165" t="str">
        <f>IF(COUNTIF(C7,""),"",Q15*O15)</f>
        <v/>
      </c>
    </row>
    <row r="16" spans="1:18" ht="14.25" thickBot="1" x14ac:dyDescent="0.3">
      <c r="A16" s="233">
        <v>2.67</v>
      </c>
      <c r="B16" s="240"/>
      <c r="C16" s="138" t="str">
        <f>IF(COUNTIF(A34,"1.*"),B16*D39,"")</f>
        <v/>
      </c>
      <c r="D16" s="152"/>
      <c r="E16" s="137" t="str">
        <f>IF(COUNTIF(E34,"1.*"),D16*H39,"")</f>
        <v/>
      </c>
      <c r="F16" s="127">
        <v>125</v>
      </c>
      <c r="G16" s="126">
        <f>IF(AND(COUNTIF(A34,"1.*"),COUNTIF(E34,"1.*")),SUM(A16*F16)-((C16*F16)+(E16*F16)),IF(COUNTIF(A34,"1.*"),SUM(A16*F16)-(C16*F16),IF(COUNTIF(E34,"1.*"),SUM(A16*F16)-(E16*F16),A16*F16)))</f>
        <v>333.75</v>
      </c>
      <c r="H16" s="31" t="str">
        <f>IF(COUNTIF(A34,"1.*"),SUM(C16*F16),"")</f>
        <v/>
      </c>
      <c r="I16" s="127" t="str">
        <f>IF(COUNTIF(E34,"1.*"),SUM(E16*F16),"")</f>
        <v/>
      </c>
      <c r="J16" s="77" t="str">
        <f>IF(COUNTIF(A34,"_"),"","Alternate Payee 1 Award:")</f>
        <v>Alternate Payee 1 Award:</v>
      </c>
      <c r="N16" s="5">
        <f>IF(COUNTIF(A34,"_"),"",IF(COUNTIF(A34,"1.*"),ROUND(H17+H21+H26,2),IF(COUNTIF(A34,"3.*"),D56,IF(OR(COUNTIF(A34,"2.*"),COUNTIF(A34,"4.*")),IF(COUNTIF(J9,"2.*"),D44,ROUND((D44+D47+D50),2))))))</f>
        <v>795.42</v>
      </c>
      <c r="O16" s="167" t="str">
        <f>IF(COUNTIF(C7,""),"","13th Check")</f>
        <v/>
      </c>
      <c r="P16" s="168" t="str">
        <f>IF(COUNTIF(C7,""),"",IF(COUNTIF(J9,"4.*"),IF(COUNTIF(I8,"*Younger*"),100%-15%-(H8*0.5%),IF(100%-15%+(H8*0.5%)&gt;100%,100%,100%-15%+(H8*0.5%)))*100&amp;"% / "&amp;IF(COUNTIF(I8,"*Younger*"),100%-30%-(H8*0.5%),IF(100%-30%+(H8*0.5%)&gt;100%,100%,100%-30%+(H8*0.5%)))*100&amp;"%",IF(COUNTIF(J9,"6.*"),IF(COUNTIF(I8,"*Younger*"),100%-30%-(H8*0.5%),IF(100%-30%+(H8*0.5%)&gt;100%,100%,100%-30%+(H8*0.5%))),IF(COUNTIF(J9,"8.*"),IF(COUNTIF(I8,"*Younger*"),100%-15%-(H8*0.5%),IF(100%-15%+(H8*0.5%)&gt;100%,100%,100%-15%+(H8*0.5%)))*100&amp;"% / "&amp;IF(COUNTIF(I8,"*Younger*"),100%-30%-(H8*0.5%),IF(100%-30%+(H8*0.5%)&gt;100%,100%,100%-30%+(H8*0.5%)))*100&amp;"%",IF(COUNTIF(I8,"*Younger*"),100%-15%-(H8*0.5%),IF(100%-15%+(H8*0.5%)&gt;100%,100%,100%-15%+(H8*0.5%)))))))</f>
        <v/>
      </c>
      <c r="Q16" s="169" t="str">
        <f>IF(COUNTIF(C7,""),"",IF(COUNTIF(J9,"1.*"),(N41)*P16,IF(COUNTIF(J9,"2.*"),(N41)*P16,IF(COUNTIF(J9,"3.*"),(N41)*P16,IF(COUNTIF(J9,"5.*"),(N41)*P16,IF(COUNTIF(J9,"6.*"),(N41)*P16,IF(COUNTIF(J9,"7.*"),(N41)*P16,IF(COUNTIF(J9,"8.*"),(N11+N12)*IF(COUNTIF(I8,"*Younger*"),100%-15%-(H8*0.5%),IF(100%-15%+(H8*0.5%)&gt;100%,100%,100%-15%+(H8*0.5%))),IF(COUNTIF(J9,"4.*"),N11*IF(COUNTIF(I8,"*Younger*"),100%-15%-(H8*0.5%),IF(100%-15%+(H8*0.5%)&gt;100%,100%,100%-15%+(H8*0.5%)))+(N12)*IF(COUNTIF(I8,"*Younger*"),100%-30%-(H8*0.5%),IF(100%-30%+(H8*0.5%)&gt;100%,100%,100%-30%+(H8*0.5%))),IF(COUNTIF(J9,"9.*"),(N41)*P16,IF(COUNTIF(J9,"10.*"),IF(COUNTIF(L44,"*1*"),M24*P16,M41*P16),"")))))))))))</f>
        <v/>
      </c>
      <c r="R16" s="170" t="str">
        <f>IF(COUNTIF(C7,""),"",Q16*O15)</f>
        <v/>
      </c>
    </row>
    <row r="17" spans="1:18" ht="14.25" thickBot="1" x14ac:dyDescent="0.3">
      <c r="A17" s="120">
        <f>SUM(A11:A16)</f>
        <v>15.51</v>
      </c>
      <c r="B17" s="120" t="str">
        <f>IF(COUNTIF(A34,"1.*"),SUM(B11:B16),"")</f>
        <v/>
      </c>
      <c r="C17" s="120" t="str">
        <f>IF(COUNTIF(A34,"1.*"),SUM(C11:C16),"")</f>
        <v/>
      </c>
      <c r="D17" s="120" t="str">
        <f>IF(COUNTIF(E34,"1.*"),SUM(D11:D16),"")</f>
        <v/>
      </c>
      <c r="E17" s="120" t="str">
        <f>IF(COUNTIF(E34,"1.*"),SUM(E11:E16),"")</f>
        <v/>
      </c>
      <c r="F17" s="121" t="s">
        <v>11</v>
      </c>
      <c r="G17" s="88">
        <f>SUM(G11:G16)</f>
        <v>1848.87</v>
      </c>
      <c r="H17" s="88" t="str">
        <f>IF(COUNTIF(A34,"1.*"),SUM(H11:H16),"")</f>
        <v/>
      </c>
      <c r="I17" s="135" t="str">
        <f>IF(COUNTIF(E34,"1.*"),SUM(I11:I16),"")</f>
        <v/>
      </c>
      <c r="J17" s="77" t="str">
        <f>IF(COUNTIF(A34,"_"),"","Alternate Payee 1 13th Check:")</f>
        <v>Alternate Payee 1 13th Check:</v>
      </c>
      <c r="N17" s="5">
        <f>IF(COUNTIF(A34,"_"),"",IF(COUNTIF(A34,"1.*"),ROUND(H17+H21,2),IF(COUNTIF(A34,"3.*"),D57,IF(OR(COUNTIF(A34,"2.*"),COUNTIF(A34,"4.*")),IF(COUNTIF(J9,"2.*"),D44,ROUND((D44+D47+D50),2))))))</f>
        <v>795.42</v>
      </c>
      <c r="O17" s="540" t="str">
        <f>IF(COUNTIF(C7,""),"",IF(OR(COUNTIF(J9,"1.*"),COUNTIF(J9,"3.*"),COUNTIF(J9,"7.*")),"Pension Benefit Deferred at Age 65 H&amp;W Options",""))</f>
        <v/>
      </c>
      <c r="P17" s="541"/>
      <c r="Q17" s="541"/>
      <c r="R17" s="542"/>
    </row>
    <row r="18" spans="1:18" ht="14.25" thickBot="1" x14ac:dyDescent="0.3">
      <c r="A18" s="536" t="s">
        <v>207</v>
      </c>
      <c r="B18" s="537"/>
      <c r="C18" s="537"/>
      <c r="D18" s="537"/>
      <c r="E18" s="537"/>
      <c r="F18" s="537"/>
      <c r="G18" s="537"/>
      <c r="H18" s="537"/>
      <c r="I18" s="538"/>
      <c r="J18" s="77" t="str">
        <f>IF(COUNTIF(E34,"Select*"),"","Alternate Payee 2 Award:")</f>
        <v/>
      </c>
      <c r="N18" s="5" t="str">
        <f>IF(COUNTIF(E34,"Select*"),"",IF(COUNTIF(E34,"1.*"),ROUND(I17+I21+I26,2),IF(COUNTIF(E34,"3.*"),H40,IF(OR(COUNTIF(E34,"2.*"),COUNTIF(E34,"4.*")),IF(COUNTIF(J9,"2.*"),H44,ROUND((H44+H47+H50),2))))))</f>
        <v/>
      </c>
      <c r="O18" s="11" t="str">
        <f>IF(COUNTIF(C7,""),"",IF(OR(COUNTIF(J9,"1.*"),COUNTIF(J9,"3.*"),COUNTIF(J9,"7.*")),"Option",""))</f>
        <v/>
      </c>
      <c r="P18" s="80" t="str">
        <f>IF(COUNTIF(C7,""),"",IF(OR(COUNTIF(J9,"1.*"),COUNTIF(J9,"3.*"),COUNTIF(J9,"7.*")),"Factor",""))</f>
        <v/>
      </c>
      <c r="Q18" s="80" t="str">
        <f>IF(COUNTIF(C7,""),"",IF(OR(COUNTIF(J9,"1.*"),COUNTIF(J9,"3.*"),COUNTIF(J9,"7.*")),"Member Benefit",""))</f>
        <v/>
      </c>
      <c r="R18" s="103" t="str">
        <f>IF(COUNTIF(C7,""),"",IF(OR(COUNTIF(J9,"1.*"),COUNTIF(J9,"3.*"),COUNTIF(J9,"7.*")),"Spouse Benefit",""))</f>
        <v/>
      </c>
    </row>
    <row r="19" spans="1:18" ht="15.75" customHeight="1" x14ac:dyDescent="0.25">
      <c r="A19" s="186"/>
      <c r="B19" s="238"/>
      <c r="C19" s="136" t="str">
        <f>IF(COUNTIF(A34,"1.*"),B19*D39,"")</f>
        <v/>
      </c>
      <c r="D19" s="150"/>
      <c r="E19" s="137" t="str">
        <f>IF(COUNTIF(E34,"1.*"),D19*H39,"")</f>
        <v/>
      </c>
      <c r="F19" s="133">
        <v>90</v>
      </c>
      <c r="G19" s="126">
        <f>IF(AND(COUNTIF(A34,"1.*"),COUNTIF(E34,"1.*")),SUM(A19*F19)-((C19*F19)+(E19*F19)),IF(COUNTIF(A34,"1.*"),SUM(A19*F19)-(C19*F19),IF(COUNTIF(E34,"1.*"),SUM(A19*F19)-(E19*F19),A19*F19)))</f>
        <v>0</v>
      </c>
      <c r="H19" s="31" t="str">
        <f>IF(COUNTIF(A34,"1.*"),SUM(C19*F19),"")</f>
        <v/>
      </c>
      <c r="I19" s="126" t="str">
        <f>IF(COUNTIF(E34,"1.*"),SUM(E19*F19),"")</f>
        <v/>
      </c>
      <c r="J19" s="77" t="str">
        <f>IF(COUNTIF(E34,"Select*"),"","Alternate Payee 2 13th Check:")</f>
        <v/>
      </c>
      <c r="N19" s="5" t="str">
        <f>IF(COUNTIF(E34,"Select*"),"",IF(COUNTIF(E34,"1.*"),ROUND(I17+I21,2),IF(COUNTIF(E34,"3.*"),H41,IF(OR(COUNTIF(E34,"2.*"),COUNTIF(E34,"4.*")),ROUND((H44+H47),2)))))</f>
        <v/>
      </c>
      <c r="O19" s="162" t="str">
        <f>IF(COUNTIF(C7,""),"",IF(OR(COUNTIF(J9,"1.*"),COUNTIF(J9,"3.*"),COUNTIF(J9,"7.*")),"50%",""))</f>
        <v/>
      </c>
      <c r="P19" s="163" t="str">
        <f>IF(COUNTIF(C7,""),"",IF(OR(COUNTIF(J9,"1.*"),COUNTIF(J9,"3.*"),COUNTIF(J9,"7.*")),IF(COUNTIF(I8,"*Younger*"),100%-8%-(H8*0.4%),IF(100%-8%+(H8*0.4%)&gt;100%,100%,100%-8%+(H8*0.4%))),""))</f>
        <v/>
      </c>
      <c r="Q19" s="164" t="str">
        <f>IF(COUNTIF(C7,""),"",IF(OR(COUNTIF(J9,"1.*"),COUNTIF(J9,"3.*"),COUNTIF(J9,"7.*")),(N43)*P19,""))</f>
        <v/>
      </c>
      <c r="R19" s="165" t="str">
        <f>IF(COUNTIF(C7,""),"",IF(OR(COUNTIF(J9,"1.*"),COUNTIF(J9,"3.*"),COUNTIF(J9,"7.*")),Q19*O19,""))</f>
        <v/>
      </c>
    </row>
    <row r="20" spans="1:18" ht="14.25" thickBot="1" x14ac:dyDescent="0.3">
      <c r="A20" s="233">
        <v>3</v>
      </c>
      <c r="B20" s="240"/>
      <c r="C20" s="138" t="str">
        <f>IF(COUNTIF(A34,"1.*"),B20*D39,"")</f>
        <v/>
      </c>
      <c r="D20" s="152"/>
      <c r="E20" s="137" t="str">
        <f>IF(COUNTIF(E34,"1.*"),D20*H39,"")</f>
        <v/>
      </c>
      <c r="F20" s="127">
        <v>125</v>
      </c>
      <c r="G20" s="126">
        <f>IF(AND(COUNTIF(A34,"1.*"),COUNTIF(E34,"1.*")),SUM(A20*F20)-((C20*F20)+(E20*F20)),IF(COUNTIF(A34,"1.*"),SUM(A20*F20)-(C20*F20),IF(COUNTIF(E34,"1.*"),SUM(A20*F20)-(E20*F20),A20*F20)))</f>
        <v>375</v>
      </c>
      <c r="H20" s="31" t="str">
        <f>IF(COUNTIF(A34,"1.*"),SUM(C20*F20),"")</f>
        <v/>
      </c>
      <c r="I20" s="126" t="str">
        <f>IF(COUNTIF(E34,"1.*"),SUM(E20*F20),"")</f>
        <v/>
      </c>
      <c r="J20" s="96" t="s">
        <v>187</v>
      </c>
      <c r="K20" s="2"/>
      <c r="L20" s="2"/>
      <c r="M20" s="31" t="str">
        <f>IF(OR(COUNTIF(J9,"1.*"),COUNTIF(J9,"2.*"),COUNTIF(J9,"3.*"),COUNTIF(J9,"4.*"),COUNTIF(J9,"5.*"),COUNTIF(J9,"6.*"),COUNTIF(J9,"7.*"),COUNTIF(J9,"8.*"),COUNTIF(J9,"9.*")),"",IF(COUNTIF(J9,"10*"),IF(AND(COUNTIF(A34,"1.*"),COUNTIF(E34,"1.*")),N11-(H17+I17),IF(AND(COUNTIF(A34,"1.*"),COUNTIF(E34,"2.*")),N11-(H17+(N11*H43)),IF(AND(COUNTIF(A34,"1.*"),COUNTIF(E34,"3.*")),N11-H17,IF(AND(COUNTIF(A34,"1.*"),COUNTIF(E34,"4.*")),N11-(H17+(N11*H43)),IF(AND(COUNTIF(A34,"2.*"),COUNTIF(E34,"1.*")),N11-((N11*D43)+I17),IF(AND(COUNTIF(A34,"2.*"),COUNTIF(E34,"2.*")),N11-((N11*D43)+(N11*H43)),IF(AND(COUNTIF(A34,"2.*"),COUNTIF(E34,"3.*")),N11-(N11*D43),IF(AND(COUNTIF(A34,"2.*"),COUNTIF(E34,"4.*")),N11-((N11*D43)+(N11*H43)),IF(AND(COUNTIF(A34,"3.*"),COUNTIF(E34,"1.*")),N11-I17,IF(AND(COUNTIF(A34,"3.*"),COUNTIF(E34,"2.*")),N11-(N11*H43),IF(AND(COUNTIF(A34,"3.*"),COUNTIF(E34,"3.*")),N11,IF(AND(COUNTIF(A34,"3.*"),COUNTIF(E34,"4.*")),N11-(N11*H43),IF(AND(COUNTIF(A34,"4.*"),COUNTIF(E34,"1.*")),N11-((N11*D43)+I17),IF(AND(COUNTIF(A34,"4.*"),COUNTIF(E34,"2.*")),N11-((N11*D43)+(N11*H43)),IF(AND(COUNTIF(A34,"4.*"),COUNTIF(E34,"3.*")),N11-(N11*D43),IF(AND(COUNTIF(A34,"4.*"),COUNTIF(E34,"4.*")),N11-((N11*D43)+(N11*H43)),IF(COUNTIF(A34,"1.*"),N11-H17,IF(COUNTIF(A34,"3.*"),N11-D40,IF(OR(COUNTIF(A34,"2.*"),COUNTIF(A34,"4.*")),N11-(N11*D43),IF(COUNTIF(E34,"1.*"),N11-I17,IF(OR(COUNTIF(E34,"2.*"),COUNTIF(E34,"4.*")),N11-(N11*H43),SUM(A11*F11,A12*F12,A13*F13,,A14*F14,A15*F15,A16*F16))))))))))))))))))))))))</f>
        <v/>
      </c>
      <c r="N20" s="5">
        <f>IF(COUNTIF(J9,"10.*"),"",IF(AND(COUNTIF(A34,"1.*"),COUNTIF(E34,"1.*")),N11-(H17+I17),IF(AND(COUNTIF(A34,"1.*"),COUNTIF(E34,"2.*")),N11-(H17+(N11*H43)),IF(AND(COUNTIF(A34,"1.*"),COUNTIF(E34,"3.*")),N11-H17,IF(AND(COUNTIF(A34,"1.*"),COUNTIF(E34,"4.*")),N11-(H17+(N11*H43)),IF(AND(COUNTIF(A34,"2.*"),COUNTIF(E34,"1.*")),N11-((N11*D43)+I17),IF(AND(COUNTIF(A34,"2.*"),COUNTIF(E34,"2.*")),N11-((N11*D43)+(N11*H43)),IF(AND(COUNTIF(A34,"2.*"),COUNTIF(E34,"3.*")),N11-(N11*D43),IF(AND(COUNTIF(A34,"2.*"),COUNTIF(E34,"4.*")),N11-((N11*D43)+(N11*H43)),IF(AND(COUNTIF(A34,"3.*"),COUNTIF(E34,"1.*")),N11-I17,IF(AND(COUNTIF(A34,"3.*"),COUNTIF(E34,"2.*")),N11-(N11*H43),IF(AND(COUNTIF(A34,"3.*"),COUNTIF(E34,"3.*")),N11,IF(AND(COUNTIF(A34,"3.*"),COUNTIF(E34,"4.*")),N11-(N11*H43),IF(AND(COUNTIF(A34,"4.*"),COUNTIF(E34,"1.*")),N11-((N11*D43)+I17),IF(AND(COUNTIF(A34,"4.*"),COUNTIF(E34,"2.*")),N11-((N11*D43)+(N11*H43)),IF(AND(COUNTIF(A34,"4.*"),COUNTIF(E34,"3.*")),N11-(N11*D43),IF(AND(COUNTIF(A34,"4.*"),COUNTIF(E34,"4.*")),N11-((N11*D43)+(N11*H43)),IF(COUNTIF(A34,"1.*"),N11-H17,IF(OR(COUNTIF(A34,"2.*"),COUNTIF(A34,"4.*")),N11-(N11*D43),IF(COUNTIF(A34,"3.*"),N11-D40,IF(COUNTIF(E34,"1.*"),N11-I17,IF(OR(COUNTIF(E34,"2.*"),COUNTIF(E34,"4.*")),N11-(N11*H43),SUM(A11*F11,A12*F12,A13*F13,,A14*F14,A15*F15,A16*F16)))))))))))))))))))))))</f>
        <v>1053.4499999999998</v>
      </c>
      <c r="O20" s="166" t="str">
        <f>IF(COUNTIF(C7,""),"",IF(OR(COUNTIF(J9,"1.*"),COUNTIF(J9,"3.*"),COUNTIF(J9,"7.*")),"13th Check",""))</f>
        <v/>
      </c>
      <c r="P20" s="163" t="str">
        <f>IF(COUNTIF(C7,""),"",IF(OR(COUNTIF(J9,"1.*"),COUNTIF(J9,"3.*"),COUNTIF(J9,"7.*")),IF(COUNTIF(I8,"*Younger*"),100%-8%-(H8*0.4%),IF(100%-8%+(H8*0.4%)&gt;100%,100%,100%-8%+(H8*0.4%))),""))</f>
        <v/>
      </c>
      <c r="Q20" s="164" t="str">
        <f>IF(COUNTIF(C7,""),"",IF(OR(COUNTIF(J9,"1.*"),COUNTIF(J9,"3.*"),COUNTIF(J9,"7.*")),(N44)*P20,""))</f>
        <v/>
      </c>
      <c r="R20" s="165" t="str">
        <f>IF(COUNTIF(C7,""),"",IF(OR(COUNTIF(J9,"1.*"),COUNTIF(J9,"3.*"),COUNTIF(J9,"7.*")),Q20*O19,""))</f>
        <v/>
      </c>
    </row>
    <row r="21" spans="1:18" ht="14.25" thickBot="1" x14ac:dyDescent="0.3">
      <c r="A21" s="120">
        <f>SUM(A19:A20)</f>
        <v>3</v>
      </c>
      <c r="B21" s="120" t="str">
        <f>IF(COUNTIF(A34,"1.*"),SUM(B19:B20),"")</f>
        <v/>
      </c>
      <c r="C21" s="91" t="str">
        <f>IF(COUNTIF(A34,"1.*"),SUM(C19:C20),"")</f>
        <v/>
      </c>
      <c r="D21" s="120" t="str">
        <f>IF(COUNTIF(E34,"1.*"),SUM(D19:D20),"")</f>
        <v/>
      </c>
      <c r="E21" s="120" t="str">
        <f>IF(COUNTIF(E34,"1.*"),SUM(E19:E20),"")</f>
        <v/>
      </c>
      <c r="F21" s="121" t="s">
        <v>11</v>
      </c>
      <c r="G21" s="88">
        <f>SUM(G19:G20)</f>
        <v>375</v>
      </c>
      <c r="H21" s="88" t="str">
        <f>IF(COUNTIF(A34,"1.*"),SUM(H19:H20),"")</f>
        <v/>
      </c>
      <c r="I21" s="88" t="str">
        <f>IF(COUNTIF(E34,"1.*"),SUM(I19:I20),"")</f>
        <v/>
      </c>
      <c r="J21" s="77" t="str">
        <f>IF(COUNTIF(J9,"1.*"),"ER Factor",IF(COUNTIF(J9,"10.*"),"Member Benefit from 09/01/2011 to 09/30/2014:",""))</f>
        <v/>
      </c>
      <c r="M21" s="31" t="str">
        <f>IF(OR(COUNTIF(J9,"1.*"),COUNTIF(J9,"2.*"),COUNTIF(J9,"3.*"),COUNTIF(J9,"4.*"),COUNTIF(J9,"5.*"),COUNTIF(J9,"6.*"),COUNTIF(J9,"7.*"),COUNTIF(J9,"8.*"),COUNTIF(J9,"9.*")),"",IF(COUNTIF(J9,"10.*"),IF(AND(COUNTIF(A34,"1.*"),COUNTIF(E34,"1.*")),N12-(H21+I21),IF(AND(COUNTIF(A34,"1.*"),COUNTIF(E34,"2.*")),N12-(H21+(N12*H43)),IF(AND(COUNTIF(A34,"1.*"),COUNTIF(E34,"3.*")),N12-H21,IF(AND(COUNTIF(A34,"1.*"),COUNTIF(E34,"4.*")),N12-(H21+(N12*H43)),IF(AND(COUNTIF(A34,"2.*"),COUNTIF(E34,"1.*")),N12-((N12*D43)+I21),IF(COUNTIF(A34,"3.*"),N12-D41,IF(AND(COUNTIF(A34,"2.*"),COUNTIF(E34,"2.*")),N12-((N12*D43)+(N12*H43)),IF(AND(COUNTIF(A34,"2.*"),COUNTIF(E34,"3.*")),N12-(N12*D43),IF(AND(COUNTIF(A34,"2.*"),COUNTIF(E34,"4.*")),N12-((N12*D43)+(N12*H43)),IF(AND(COUNTIF(A34,"3.*"),COUNTIF(E34,"1.*")),N12-I21,IF(AND(COUNTIF(A34,"3.*"),COUNTIF(E34,"2.*")),N12-(N12*H43),IF(AND(COUNTIF(A34,"3.*"),COUNTIF(E34,"3.*")),N12,IF(AND(COUNTIF(A34,"3.*"),COUNTIF(E34,"4.*")),N12-(N12*H43),IF(AND(COUNTIF(A34,"4.*"),COUNTIF(E34,"1.*")),N12-((N12*D43)+I21),IF(AND(COUNTIF(A34,"4.*"),COUNTIF(E34,"2.*")),N12-((N12*D43)+(N12*H43)),IF(AND(COUNTIF(A34,"4.*"),COUNTIF(E34,"3.*")),N12-(N12*D43),IF(AND(COUNTIF(A34,"4.*"),COUNTIF(E34,"4.*")),N12-((N12*D43)+(N12*H43)),IF(COUNTIF(A34,"1.*"),N12-H21,IF(COUNTIF(A34,"3.*"),N12,IF(OR(COUNTIF(A34,"2.*"),COUNTIF(A34,"4.*")),N12-(N12*D43),IF(COUNTIF(E34,"1.*"),N12-I21,IF(COUNTIF(E34,"3.*"),N12,IF(OR(COUNTIF(E34,"2.*"),COUNTIF(E34,"4.*")),N12-(N12*H43),SUM(A19*F19,A20*F20))))))))))))))))))))))))))</f>
        <v/>
      </c>
      <c r="N21" s="113" t="str">
        <f>IF(COUNTIF(J9,"1.*"),IF(DATEDIF(C3,C5,"m")&lt;=600,((DATEDIF(C3,C5,"m")-540)*0.1%+40%),IF(DATEDIF(C3,C5,"m")&lt;=660,((DATEDIF(C3,C5,"m")-600)*0.2%+46%),IF((DATEDIF(C3,C5,"m")-660)*0.5%+58%&gt;=100%,100%,((DATEDIF(C3,C5,"m")-660)*0.5%+58%)))),"")</f>
        <v/>
      </c>
      <c r="O21" s="166" t="str">
        <f>IF(COUNTIF(C7,""),"",IF(OR(COUNTIF(J9,"1.*"),COUNTIF(J9,"3.*"),COUNTIF(J9,"7.*")),"75%",""))</f>
        <v/>
      </c>
      <c r="P21" s="171" t="str">
        <f>IF(COUNTIF(C7,""),"",IF(OR(COUNTIF(J9,"1.*"),COUNTIF(J9,"3.*"),COUNTIF(J9,"7.*")),IF(COUNTIF(I8,"*Younger*"),100%-12%-(H8*0.4%),IF(100%-12%+(H8*0.4%)&gt;100%,100%,100%-12%+(H8*0.4%))),""))</f>
        <v/>
      </c>
      <c r="Q21" s="164" t="str">
        <f>IF(COUNTIF(C7,""),"",IF(OR(COUNTIF(J9,"1.*"),COUNTIF(J9,"3.*"),COUNTIF(J9,"7.*")),(N43)*P21,""))</f>
        <v/>
      </c>
      <c r="R21" s="165" t="str">
        <f>IF(COUNTIF(C7,""),"",IF(OR(COUNTIF(J9,"1.*"),COUNTIF(J9,"3.*"),COUNTIF(J9,"7.*")),Q21*O21,""))</f>
        <v/>
      </c>
    </row>
    <row r="22" spans="1:18" ht="14.25" thickBot="1" x14ac:dyDescent="0.3">
      <c r="A22" s="536" t="s">
        <v>208</v>
      </c>
      <c r="B22" s="537"/>
      <c r="C22" s="537"/>
      <c r="D22" s="537"/>
      <c r="E22" s="537"/>
      <c r="F22" s="537"/>
      <c r="G22" s="537"/>
      <c r="H22" s="537"/>
      <c r="I22" s="538"/>
      <c r="J22" s="77" t="str">
        <f>IF(COUNTIF(J9,"1.*"),"ER Benefit Prior to 09/01/2011",IF(COUNTIF(J9,"10.*"),"Member Benefit on and After 10/01/2014:",""))</f>
        <v/>
      </c>
      <c r="M22" s="31" t="str">
        <f>IF(OR(COUNTIF(J9,"1.*"),COUNTIF(J9,"2.*"),COUNTIF(J9,"3.*"),COUNTIF(J9,"4.*"),COUNTIF(J9,"5.*"),COUNTIF(J9,"6.*"),COUNTIF(J9,"7.*"),COUNTIF(J9,"8.*"),COUNTIF(J9,"9.*")),"",IF(COUNTIF(J9,"10.*"),IF(AND(COUNTIF(A34,"1.*"),COUNTIF(E34,"1.*")),N13-(H26+I26),IF(AND(COUNTIF(A34,"1.*"),COUNTIF(E34,"2.*")),N13-(H26+(N13*H43)),IF(AND(COUNTIF(A34,"1.*"),COUNTIF(E34,"3.*")),N13-H26,IF(AND(COUNTIF(A34,"1.*"),COUNTIF(E34,"4.*")),N13-(H26+(N13*H43)),IF(AND(COUNTIF(A34,"2.*"),COUNTIF(E34,"1.*")),N13-((N13*D43)+I26),IF(COUNTIF(A34,"3.*"),N13-D42,IF(AND(COUNTIF(A34,"2.*"),COUNTIF(E34,"2.*")),N13-((N13*D43)+(N13*H43)),IF(AND(COUNTIF(A34,"2.*"),COUNTIF(E34,"3.*")),N13-(N13*D43),IF(AND(COUNTIF(A34,"2.*"),COUNTIF(E34,"4.*")),N13-((N13*D43)+(N13*H43)),IF(AND(COUNTIF(A34,"3.*"),COUNTIF(E34,"1.*")),N13-I26,IF(AND(COUNTIF(A34,"3.*"),COUNTIF(E34,"2.*")),N13-(N13*H43),IF(AND(COUNTIF(A34,"3.*"),COUNTIF(E34,"3.*")),N13,IF(AND(COUNTIF(A34,"3.*"),COUNTIF(E34,"4.*")),N13-(N13*H43),IF(AND(COUNTIF(A34,"4.*"),COUNTIF(E34,"1.*")),N13-((N13*D43)+I17),IF(AND(COUNTIF(A34,"4.*"),COUNTIF(E34,"2.*")),N13-((N13*D43)+(N13*H43)),IF(AND(COUNTIF(A34,"4.*"),COUNTIF(E34,"3.*")),N13-(N13*D43),IF(AND(COUNTIF(A34,"4.*"),COUNTIF(E34,"4.*")),N13-((N13*D43)+(N13*H43)),IF(COUNTIF(A34,"1.*"),N13-H26,IF(OR(COUNTIF(A34,"2.*"),COUNTIF(A34,"4.*")),N13-(N13*D43),IF(COUNTIF(E34,"1.*"),N13-I26,IF(OR(COUNTIF(E34,"2.*"),COUNTIF(E34,"4.*")),N13-(N13*H43),SUM(A23*F23,A24*F24,A25*F25,A25*F25,A29*F29,A30*F30,A31*F31))))))))))))))))))))))))</f>
        <v/>
      </c>
      <c r="N22" s="5" t="str">
        <f>IF(COUNTIF(J9,"1.*"),(N20*N21),IF(OR(COUNTIF(J9,"2.*"),COUNTIF(J9,"4.*"),COUNTIF(J9,"5.*"),COUNTIF(J9,"6.*"),COUNTIF(J9,"7.*"),COUNTIF(J9,"8.*"),COUNTIF(J9,"9.*"),COUNTIF(J9,"10.*")),"",IF(AND(COUNTIF(A34,"1.*"),COUNTIF(E34,"1.*")),N13-(H26+I26),IF(AND(COUNTIF(A34,"1.*"),COUNTIF(E34,"2.*")),N13-(H26+(N13*H43)),IF(AND(COUNTIF(A34,"1.*"),COUNTIF(E34,"3.*")),N13-H26,IF(AND(COUNTIF(A34,"1.*"),COUNTIF(E34,"4.*")),N13-(H26+(N13*H43)),IF(AND(COUNTIF(A34,"2.*"),COUNTIF(E34,"1.*")),N13-((N13*D43)+I26),IF(AND(COUNTIF(A34,"2.*"),COUNTIF(E34,"2.*")),N13-((N13*D43)+(N13*H43)),IF(AND(COUNTIF(A34,"2.*"),COUNTIF(E34,"3.*")),N13-(N13*D43),IF(AND(COUNTIF(A34,"2.*"),COUNTIF(E34,"4.*")),N13-((N13*D43)+(N13*H43)),IF(AND(COUNTIF(A34,"3.*"),COUNTIF(E34,"1.*")),N13-I26,IF(AND(COUNTIF(A34,"3.*"),COUNTIF(E34,"2.*")),N13-(N13*H43),IF(AND(COUNTIF(A34,"3.*"),COUNTIF(E34,"3.*")),N13,IF(AND(COUNTIF(A34,"3.*"),COUNTIF(E34,"4.*")),N13-(N13*H43),IF(AND(COUNTIF(A34,"4.*"),COUNTIF(E34,"1.*")),N13-((N13*D43)+I17),IF(AND(COUNTIF(A34,"4.*"),COUNTIF(E34,"2.*")),N13-((N13*D43)+(N13*H43)),IF(AND(COUNTIF(A34,"4.*"),COUNTIF(E34,"3.*")),N13-(N13*D43),IF(AND(COUNTIF(A34,"4.*"),COUNTIF(E34,"4.*")),N13-((N13*D43)+(N13*H43)),IF(COUNTIF(A34,"1.*"),N13-H26,IF(OR(COUNTIF(A34,"2.*"),COUNTIF(A34,"4.*")),N13-(N13*D43),IF(COUNTIF(E34,"1.*"),N13-I26,IF(OR(COUNTIF(E34,"2.*"),COUNTIF(E34,"4.*")),N13-(N13*H43),SUM(A23*F23,A24*F24,A25*F25,A25*F25)))))))))))))))))))))))</f>
        <v/>
      </c>
      <c r="O22" s="162" t="str">
        <f>IF(COUNTIF(C7,""),"",IF(OR(COUNTIF(J9,"1.*"),COUNTIF(J9,"3.*"),COUNTIF(J9,"7.*")),"13th Check",""))</f>
        <v/>
      </c>
      <c r="P22" s="163" t="str">
        <f>IF(COUNTIF(C7,""),"",IF(OR(COUNTIF(J9,"1.*"),COUNTIF(J9,"3.*"),COUNTIF(J9,"7.*")),IF(COUNTIF(I8,"*Younger*"),100%-12%-(H8*0.4%),IF(100%-12%+(H8*0.4%)&gt;100%,100%,100%-12%+(H8*0.4%))),""))</f>
        <v/>
      </c>
      <c r="Q22" s="164" t="str">
        <f>IF(COUNTIF(C7,""),"",IF(OR(COUNTIF(J9,"1.*"),COUNTIF(J9,"3.*"),COUNTIF(J9,"7.*")),(N44)*P22,""))</f>
        <v/>
      </c>
      <c r="R22" s="165" t="str">
        <f>IF(COUNTIF(C7,""),"",IF(OR(COUNTIF(J9,"1.*"),COUNTIF(J9,"3.*"),COUNTIF(J9,"7.*")),Q22*O21,""))</f>
        <v/>
      </c>
    </row>
    <row r="23" spans="1:18" ht="15" customHeight="1" x14ac:dyDescent="0.25">
      <c r="A23" s="186"/>
      <c r="B23" s="238"/>
      <c r="C23" s="136" t="str">
        <f>IF(COUNTIF(A34,"1.*"),B23*D39,"")</f>
        <v/>
      </c>
      <c r="D23" s="153"/>
      <c r="E23" s="137" t="str">
        <f>IF(COUNTIF(E34,"1.*"),D23*H39,"")</f>
        <v/>
      </c>
      <c r="F23" s="133">
        <v>105</v>
      </c>
      <c r="G23" s="126">
        <f>IF(AND(COUNTIF(A34,"1.*"),COUNTIF(E34,"1.*")),SUM(A23*F23)-((C23*F23))+(E23*F23),IF(COUNTIF(A34,"1.*"),SUM(A23*F23)-(C23*F23),IF(COUNTIF(E34,"1.*"),SUM(A23*F23)-(E23*F23),A23*F23)))</f>
        <v>0</v>
      </c>
      <c r="H23" s="31" t="str">
        <f>IF(COUNTIF(A34,"1.*"),SUM(C23*F23),"")</f>
        <v/>
      </c>
      <c r="I23" s="126" t="str">
        <f>IF(COUNTIF(E34,"1.*"),SUM(D23*F23),"")</f>
        <v/>
      </c>
      <c r="J23" s="77" t="str">
        <f>IF(COUNTIF(J9,"10.*"),"Member Delayed Calculation 1 Monthly Amount",IF(COUNTIF(J9,"2.*"),"","Member Benefit from 09/01/2011 to 09/30/2014:"))</f>
        <v>Member Benefit from 09/01/2011 to 09/30/2014:</v>
      </c>
      <c r="M23" s="31" t="str">
        <f>IF(AND(COUNTIF(A34,"3.*"),COUNTIF(E34,"3.*"),COUNTIF(J9,"10.*")),(M20+M21+M22)-(D40+H40),IF(AND(COUNTIF(A34,"3.*"),COUNTIF(J9,"10.*")),(M20+M21+M22),IF(AND(COUNTIF(E34,"3.*"),COUNTIF(J9,"10.*")),(M20+M21+M22)-H40,IF(COUNTIF(J9,"10.*"),M20+M21+M22,""))))</f>
        <v/>
      </c>
      <c r="N23" s="5">
        <f>IF(COUNTIF(J9,"10.*"),"",IF(COUNTIF(J9,"2.*"),"",IF(AND(COUNTIF(A34,"1.*"),COUNTIF(E34,"1.*")),N12-(H21+I21),IF(AND(COUNTIF(A34,"1.*"),COUNTIF(E34,"2.*")),N12-(H21+(N12*H43)),IF(AND(COUNTIF(A34,"1.*"),COUNTIF(E34,"3.*")),N12-H21,IF(AND(COUNTIF(A34,"1.*"),COUNTIF(E34,"4.*")),N12-(H21+(N12*H43)),IF(AND(COUNTIF(A34,"2.*"),COUNTIF(E34,"1.*")),N12-((N12*D43)+I21),IF(AND(COUNTIF(A34,"2.*"),COUNTIF(E34,"2.*")),N12-((N12*D43)+(N12*H43)),IF(AND(COUNTIF(A34,"2.*"),COUNTIF(E34,"3.*")),N12-(N12*D43),IF(AND(COUNTIF(A34,"2.*"),COUNTIF(E34,"4.*")),N12-((N12*D43)+(N12*H43)),IF(AND(COUNTIF(A34,"3.*"),COUNTIF(E34,"1.*")),N12-I21,IF(AND(COUNTIF(A34,"3.*"),COUNTIF(E34,"2.*")),N12-(N12*H43),IF(AND(COUNTIF(A34,"3.*"),COUNTIF(E34,"3.*")),N12,IF(AND(COUNTIF(A34,"3.*"),COUNTIF(E34,"4.*")),N12-(N12*H43),IF(AND(COUNTIF(A34,"4.*"),COUNTIF(E34,"1.*")),N12-((N12*D43)+I21),IF(AND(COUNTIF(A34,"4.*"),COUNTIF(E34,"2.*")),N12-((N12*D43)+(N12*H43)),IF(AND(COUNTIF(A34,"4.*"),COUNTIF(E34,"3.*")),N12-(N12*D43),IF(AND(COUNTIF(A34,"4.*"),COUNTIF(E34,"4.*")),N12-((N12*D43)+(N12*H43)),IF(COUNTIF(A34,"1.*"),N12-H21,IF(OR(COUNTIF(A34,"2.*"),COUNTIF(A34,"4.*")),N12-(N12*D43),IF(COUNTIF(A34,"3.*"),N12-D41,IF(COUNTIF(E34,"1.*"),N12-I21,IF(OR(COUNTIF(E34,"2.*"),COUNTIF(E34,"4.*")),N12-(N12*H43),SUM(A19*F19,A20*F20))))))))))))))))))))))))</f>
        <v>375</v>
      </c>
      <c r="O23" s="166" t="str">
        <f>IF(COUNTIF(C7,""),"",IF(OR(COUNTIF(J9,"1.*"),COUNTIF(J9,"3.*"),COUNTIF(J9,"7.*")),"100%",""))</f>
        <v/>
      </c>
      <c r="P23" s="163" t="str">
        <f>IF(COUNTIF(C7,""),"",IF(OR(COUNTIF(J9,"1.*"),COUNTIF(J9,"3.*"),COUNTIF(J9,"7.*")),IF(COUNTIF(I8,"*Younger*"),100%-15%-(H8*0.5%),IF(100%-15%+(H8*0.5%)&gt;100%,100%,100%-15%+(H8*0.5%))),""))</f>
        <v/>
      </c>
      <c r="Q23" s="164" t="str">
        <f>IF(COUNTIF(C7,""),"",IF(OR(COUNTIF(J9,"1.*"),COUNTIF(J9,"3.*"),COUNTIF(J9,"7.*")),(N43)*P23,""))</f>
        <v/>
      </c>
      <c r="R23" s="165" t="str">
        <f>IF(COUNTIF(C7,""),"",IF(OR(COUNTIF(J9,"1.*"),COUNTIF(J9,"3.*"),COUNTIF(J9,"7.*")),Q23*O23,""))</f>
        <v/>
      </c>
    </row>
    <row r="24" spans="1:18" ht="14.25" thickBot="1" x14ac:dyDescent="0.3">
      <c r="A24" s="232">
        <v>12.5</v>
      </c>
      <c r="B24" s="239"/>
      <c r="C24" s="137" t="str">
        <f>IF(COUNTIF(A34,"1.*"),B24*D39,"")</f>
        <v/>
      </c>
      <c r="D24" s="153"/>
      <c r="E24" s="137" t="str">
        <f>IF(COUNTIF(E34,"1.*"),D24*H39,"")</f>
        <v/>
      </c>
      <c r="F24" s="126">
        <v>135</v>
      </c>
      <c r="G24" s="126">
        <f>IF(AND(COUNTIF(A34,"1.*"),COUNTIF(E34,"1.*")),SUM(A24*F24)-((C24*F24)+(E24*F24)),IF(COUNTIF(A34,"1.*"),SUM(A24*F24)-(C24*F24),IF(COUNTIF(E34,"1.*"),SUM(A24*F24)-(E24*F24),A24*F24)))</f>
        <v>1687.5</v>
      </c>
      <c r="H24" s="31" t="str">
        <f>IF(COUNTIF(A34,"1.*"),SUM(C24*F24),"")</f>
        <v/>
      </c>
      <c r="I24" s="126" t="str">
        <f>IF(COUNTIF(E34,"1.*"),SUM(D24*F24),"")</f>
        <v/>
      </c>
      <c r="J24" s="96" t="str">
        <f>IF(COUNTIF(J9,"10.*"),"Member Delayed Calculation 1 13th Check",IF(OR(COUNTIF(J9,"1.*"),COUNTIF(J9,"3.*")),"ER Factor",""))</f>
        <v/>
      </c>
      <c r="K24" s="101"/>
      <c r="L24" s="101"/>
      <c r="M24" s="31" t="str">
        <f>IF(AND(COUNTIF(A34,"3.*"),COUNTIF(E34,"3.*"),COUNTIF(J9,"10.*")),(M20+M21)-(D41+H41),IF(AND(COUNTIF(A34,"3.*"),COUNTIF(J9,"10.*")),(M20+M21),IF(AND(COUNTIF(E34,"3.*"),COUNTIF(J9,"10.*")),(M20+M21)-H41,IF(COUNTIF(J9,"10.*"),M20+M21,""))))</f>
        <v/>
      </c>
      <c r="N24" s="113" t="str">
        <f>IF(COUNTIF(J9,"10.*"),"",IF(OR(COUNTIF(J9,"1.*"),COUNTIF(J9,"3.*")),IF(DATEDIF(C3,C5,"m")&lt;=600,((DATEDIF(C3,C5,"m")-540)*0.1%+22%),IF(DATEDIF(C3,C5,"m")&lt;=660,((DATEDIF(C3,C5,"m")-600)*0.2%+28%),IF((DATEDIF(C3,C5,"m")-660)*0.5%+40%&gt;=100%,100%,((DATEDIF(C3,C5,"m")-660)*0.5%+40%)))),""))</f>
        <v/>
      </c>
      <c r="O24" s="172" t="str">
        <f>IF(COUNTIF(C7,""),"",IF(OR(COUNTIF(J9,"1.*"),COUNTIF(J9,"3.*"),COUNTIF(J9,"7.*")),"13th Check",""))</f>
        <v/>
      </c>
      <c r="P24" s="168" t="str">
        <f>IF(COUNTIF(C7,""),"",IF(OR(COUNTIF(J9,"1.*"),COUNTIF(J9,"3.*"),COUNTIF(J9,"7.*")),IF(COUNTIF(I8,"*Younger*"),100%-15%-(H8*0.5%),IF(100%-15%+(H8*0.5%)&gt;100%,100%,100%-15%+(H8*0.5%))),""))</f>
        <v/>
      </c>
      <c r="Q24" s="169" t="str">
        <f>IF(COUNTIF(C7,""),"",IF(OR(COUNTIF(J9,"1.*"),COUNTIF(J9,"3.*"),COUNTIF(J9,"7.*")),(N44)*P24,""))</f>
        <v/>
      </c>
      <c r="R24" s="170" t="str">
        <f>IF(COUNTIF(C7,""),"",IF(OR(COUNTIF(J9,"1.*"),COUNTIF(J9,"3.*"),COUNTIF(J9,"7.*")),Q24*O23,""))</f>
        <v/>
      </c>
    </row>
    <row r="25" spans="1:18" ht="14.25" thickBot="1" x14ac:dyDescent="0.3">
      <c r="A25" s="232"/>
      <c r="B25" s="239"/>
      <c r="C25" s="137" t="str">
        <f>IF(COUNTIF(A34,"1.*"),B25*D39,"")</f>
        <v/>
      </c>
      <c r="D25" s="153"/>
      <c r="E25" s="137" t="str">
        <f>IF(COUNTIF(E34,"1.*"),D25*H39,"")</f>
        <v/>
      </c>
      <c r="F25" s="235">
        <v>70</v>
      </c>
      <c r="G25" s="126">
        <f>IF(AND(COUNTIF(A34,"1.*"),COUNTIF(E34,"1.*")),SUM(A25*F25)-((C25*F25)+(E25*F25)),IF(COUNTIF(A34,"1.*"),SUM(A25*F25)-(C25*F25),IF(COUNTIF(E34,"1.*"),SUM(A25*F25)-(E25*F25),A25*F25)))</f>
        <v>0</v>
      </c>
      <c r="H25" s="31" t="str">
        <f>IF(COUNTIF(A34,"1.*"),SUM(C25*F25),"")</f>
        <v/>
      </c>
      <c r="I25" s="126" t="str">
        <f>IF(COUNTIF(E34,"1.*"),SUM(D25*F25),"")</f>
        <v/>
      </c>
      <c r="J25" s="556" t="str">
        <f>IF(COUNTIF(J9,"10.*"),"Delayed Retirement Calculation 2","")</f>
        <v/>
      </c>
      <c r="K25" s="557"/>
      <c r="L25" s="557"/>
      <c r="M25" s="557"/>
      <c r="N25" s="558"/>
    </row>
    <row r="26" spans="1:18" ht="14.25" thickBot="1" x14ac:dyDescent="0.3">
      <c r="A26" s="24">
        <f>SUM(A23:A25)</f>
        <v>12.5</v>
      </c>
      <c r="B26" s="91" t="str">
        <f>IF(COUNTIF(A34,"1.*"),SUM(B23:B25),"")</f>
        <v/>
      </c>
      <c r="C26" s="91" t="str">
        <f>IF(COUNTIF(A34,"1.*"),SUM(C23:C25),"")</f>
        <v/>
      </c>
      <c r="D26" s="91" t="str">
        <f>IF(COUNTIF(E34,"1.*"),SUM(D23:D25),"")</f>
        <v/>
      </c>
      <c r="E26" s="91" t="str">
        <f>IF(COUNTIF(E34,"1.*"),SUM(E23:E25),"")</f>
        <v/>
      </c>
      <c r="F26" s="121" t="s">
        <v>11</v>
      </c>
      <c r="G26" s="26">
        <f>SUM(G23:G25)</f>
        <v>1687.5</v>
      </c>
      <c r="H26" s="26" t="str">
        <f>IF(COUNTIF(A34,"1.*"),SUM(H23:H25),"")</f>
        <v/>
      </c>
      <c r="I26" s="26" t="str">
        <f>IF(COUNTIF(E34,"1.*"),SUM(I23:I25),"")</f>
        <v/>
      </c>
      <c r="J26" s="77" t="str">
        <f>IF(OR(COUNTIF(J9,"1.*"),COUNTIF(J9,"3.*")),"ER Benefit from 09/01/2011 to 09/30/2014",IF(DATEDIF(C3,C5,"m")&gt;=780,"Date member turned 65",""))</f>
        <v>Date member turned 65</v>
      </c>
      <c r="K26" s="101"/>
      <c r="M26" s="193" t="str">
        <f>IF(COUNTIF(J9,"10.*"),IF(DATEDIF(C3,C5,"m")&gt;=780,EDATE(C3,65*12),""),"")</f>
        <v/>
      </c>
      <c r="N26" s="5" t="str">
        <f>IF(OR(COUNTIF(J9,"1.*"),COUNTIF(J9,"3.*")),N23*N24,"")</f>
        <v/>
      </c>
    </row>
    <row r="27" spans="1:18" ht="14.25" thickBot="1" x14ac:dyDescent="0.3">
      <c r="A27" s="120">
        <f>SUM(A17,A21,A26)</f>
        <v>31.009999999999998</v>
      </c>
      <c r="B27" s="209" t="str">
        <f>IF(COUNTIF(A34,"1.*"),SUM(B17,B21,B26),"")</f>
        <v/>
      </c>
      <c r="C27" s="209" t="str">
        <f>IF(COUNTIF(A34,"1.*"),SUM(C17,C21,C26),"")</f>
        <v/>
      </c>
      <c r="D27" s="209" t="str">
        <f>IF(COUNTIF(E34,"1.*"),SUM(D17,D21,D26),"")</f>
        <v/>
      </c>
      <c r="E27" s="136" t="str">
        <f>IF(COUNTIF(E34,"1.*"),SUM(E17,E21,E26),"")</f>
        <v/>
      </c>
      <c r="F27" s="210" t="str">
        <f>IF(COUNTIF(J9,"10.*"),"Pre-Age 65 Total","Total")</f>
        <v>Total</v>
      </c>
      <c r="G27" s="88">
        <f>SUM(G17,G21,G26)</f>
        <v>3911.37</v>
      </c>
      <c r="H27" s="88" t="str">
        <f>IF(COUNTIF(A34,"1.*"),SUM(H17,H21,H26),"")</f>
        <v/>
      </c>
      <c r="I27" s="88" t="str">
        <f>IF(COUNTIF(E34,"1.*"),SUM(I17,I21,I26),"")</f>
        <v/>
      </c>
      <c r="J27" s="77" t="str">
        <f>IF(COUNTIF(J9,"2.*"),"",IF(COUNTIF(J9,"10.*"),IF(DATEDIF(C3,C5,"m")&gt;=846,"Date member turned 70 1/2",""),"Member Benefit on and After 10/01/2014:"))</f>
        <v>Member Benefit on and After 10/01/2014:</v>
      </c>
      <c r="M27" s="193" t="str">
        <f>IF(COUNTIF(J9,"10.*"),IF(DATEDIF(C3,C5,"m")&gt;=846,EDATE(C3,70*12+6),""),"")</f>
        <v/>
      </c>
      <c r="N27" s="5">
        <f>IF(OR(COUNTIF(J9,"2.*"),COUNTIF(J9,"10.*")),"",IF(AND(COUNTIF(A34,"1.*"),COUNTIF(E34,"1.*")),N13-(H26+I26),IF(AND(COUNTIF(A34,"1.*"),COUNTIF(E34,"2.*")),N13-(H26+(N13*H43)),IF(AND(COUNTIF(A34,"1.*"),COUNTIF(E34,"3.*")),N13-H26,IF(AND(COUNTIF(A34,"1.*"),COUNTIF(E34,"4.*")),N13-(H26+(N13*H43)),IF(AND(COUNTIF(A34,"2.*"),COUNTIF(E34,"1.*")),N13-((N13*D43)+I26),IF(AND(COUNTIF(A34,"2.*"),COUNTIF(E34,"2.*")),N13-((N13*D43)+(N13*H43)),IF(AND(COUNTIF(A34,"2.*"),COUNTIF(E34,"3.*")),N13-(N13*D43),IF(AND(COUNTIF(A34,"2.*"),COUNTIF(E34,"4.*")),N13-((N13*D43)+(N13*H43)),IF(AND(COUNTIF(A34,"3.*"),COUNTIF(E34,"1.*")),N13-I26,IF(AND(COUNTIF(A34,"3.*"),COUNTIF(E34,"2.*")),N13-(N13*H43),IF(AND(COUNTIF(A34,"3.*"),COUNTIF(E34,"3.*")),N13,IF(AND(COUNTIF(A34,"3.*"),COUNTIF(E34,"4.*")),N13-(N13*H43),IF(AND(COUNTIF(A34,"4.*"),COUNTIF(E34,"1.*")),N13-((N13*D43)+I17),IF(AND(COUNTIF(A34,"4.*"),COUNTIF(E34,"2.*")),N13-((N13*D43)+(N13*H43)),IF(AND(COUNTIF(A34,"4.*"),COUNTIF(E34,"3.*")),N13-(N13*D43),IF(AND(COUNTIF(A34,"4.*"),COUNTIF(E34,"4.*")),N13-((N13*D43)+(N13*H43)),IF(COUNTIF(A34,"1.*"),N13-H26,IF(OR(COUNTIF(A34,"2.*"),COUNTIF(A34,"4.*")),N13-(N13*D43),IF(COUNTIF(A34,"3.*"),N13-D42,IF(COUNTIF(E34,"1.*"),N13-I26,IF(OR(COUNTIF(E34,"2.*"),COUNTIF(E34,"4.*")),N13-(N13*H43),SUM(A23*F23,A24*F24,A25*F25,A25*F25)))))))))))))))))))))))</f>
        <v>1687.5</v>
      </c>
    </row>
    <row r="28" spans="1:18" ht="15.75" customHeight="1" thickBot="1" x14ac:dyDescent="0.3">
      <c r="A28" s="564" t="str">
        <f>IF(COUNTIF(J9,"10.*"),"Credits Earned After Age 65","")</f>
        <v/>
      </c>
      <c r="B28" s="565"/>
      <c r="C28" s="565"/>
      <c r="D28" s="565"/>
      <c r="E28" s="565"/>
      <c r="F28" s="565"/>
      <c r="G28" s="565"/>
      <c r="H28" s="565"/>
      <c r="I28" s="566"/>
      <c r="J28" s="77" t="str">
        <f>IF(OR(COUNTIF(J9,"1.*"),COUNTIF(J9,"3.*"),COUNTIF(J9,"7.*")),"ER Factor",IF(COUNTIF(J9,"10.*"),"Member Benefit Prior to 09/01/2011:",""))</f>
        <v/>
      </c>
      <c r="M28" s="31" t="str">
        <f>IF(OR(COUNTIF(J9,"1.*"),COUNTIF(J9,"2.*"),COUNTIF(J9,"3.*"),COUNTIF(J9,"4.*"),COUNTIF(J9,"5.*"),COUNTIF(J9,"6.*"),COUNTIF(J9,"7.*"),COUNTIF(J9,"8.*"),COUNTIF(J9,"9.*")),"",IF(COUNTIF(J9,"10*"),SUM(G17:I17),""))</f>
        <v/>
      </c>
      <c r="N28" s="113" t="str">
        <f>IF(OR(COUNTIF(J9,"1.*"),COUNTIF(J9,"3.*"),COUNTIF(J9,"7.*")),IF(DATEDIF(C3,C5,"m")&lt;=600,(DATEDIF(C3,C5,"m")-540)*0.1%+22%,IF(DATEDIF(C3,C5,"m")&lt;=660,(DATEDIF(C3,C5,"m")-600)*0.2%+28%,IF((DATEDIF(C3,C5,"m")-660)*0.5%+40%&gt;=100%,100%,(DATEDIF(C3,C5,"m")-660)*0.5%+40%))),"")</f>
        <v/>
      </c>
    </row>
    <row r="29" spans="1:18" ht="15.75" customHeight="1" x14ac:dyDescent="0.25">
      <c r="A29" s="188"/>
      <c r="B29" s="238"/>
      <c r="C29" s="214"/>
      <c r="D29" s="150"/>
      <c r="E29" s="214"/>
      <c r="F29" s="133" t="str">
        <f>IF(COUNTIF(J9,"10.*"),105,"")</f>
        <v/>
      </c>
      <c r="G29" s="133" t="str">
        <f>IF(COUNTIF(J9,"10.*"),IF(AND(COUNTIF(A34,"1.*"),COUNTIF(E34,"1.*")),SUM(A29*F29)-((C29*F29)+(E29*F29)),IF(COUNTIF(A34,"1.*"),SUM(A29*F29)-(C29*F29),IF(COUNTIF(E34,"1.*"),SUM(A29*F29)-(E29*F29),IF(COUNTIF(J9,"10.*"),A29*F29,"")))),"")</f>
        <v/>
      </c>
      <c r="H29" s="31" t="str">
        <f>IF(AND(COUNTIF(J9,"10.*"),COUNTIF(A34,"1.*")),SUM(C29*F29),"")</f>
        <v/>
      </c>
      <c r="I29" s="133" t="str">
        <f>IF(COUNTIF(E34,"1.*"),SUM(D29*F29),"")</f>
        <v/>
      </c>
      <c r="J29" s="77" t="str">
        <f>IF(OR(COUNTIF(J9,"1.*"),COUNTIF(J9,"3.*"),COUNTIF(J9,"7.*")),"ER Benefit on or After 10/01/2014",IF(COUNTIF(J9,"10.*"),"Member Benefit from 09/01/2011 to 09/30/2014",""))</f>
        <v/>
      </c>
      <c r="M29" s="31" t="str">
        <f>IF(OR(COUNTIF(J9,"1.*"),COUNTIF(J9,"2.*"),COUNTIF(J9,"3.*"),COUNTIF(J9,"4.*"),COUNTIF(J9,"5.*"),COUNTIF(J9,"6.*"),COUNTIF(J9,"7.*"),COUNTIF(J9,"8.*"),COUNTIF(J9,"9.*")),"",IF(COUNTIF(J9,"10*"),SUM(G21:I21)))</f>
        <v/>
      </c>
      <c r="N29" s="5" t="str">
        <f>IF(OR(COUNTIF(J9,"1.*"),COUNTIF(J9,"3.*"),COUNTIF(J9,"7.*")),ROUND(N27*N28,2),"")</f>
        <v/>
      </c>
    </row>
    <row r="30" spans="1:18" x14ac:dyDescent="0.25">
      <c r="A30" s="188"/>
      <c r="B30" s="241"/>
      <c r="C30" s="215"/>
      <c r="D30" s="218"/>
      <c r="E30" s="215"/>
      <c r="F30" s="126" t="str">
        <f>IF(COUNTIF(J9,"10.*"),135,"")</f>
        <v/>
      </c>
      <c r="G30" s="126" t="str">
        <f>IF(COUNTIF(J9,"10.*"),IF(AND(COUNTIF(A34,"1.*"),COUNTIF(E34,"1.*")),SUM(A30*F30)-((C30*F30)+(E30*F30)),IF(COUNTIF(A34,"1.*"),SUM(A30*F30)-(C30*F30),IF(COUNTIF(E34,"1.*"),SUM(A30*F30)-(E30*F30),IF(COUNTIF(J9,"10.*"),A30*F30,"")))),"")</f>
        <v/>
      </c>
      <c r="H30" s="31" t="str">
        <f>IF(AND(COUNTIF(J9,"10.*"),COUNTIF(A34,"1.*")),SUM(C30*F30),"")</f>
        <v/>
      </c>
      <c r="I30" s="126" t="str">
        <f>IF(COUNTIF(E34,"1.*"),SUM(D30*F30),"")</f>
        <v/>
      </c>
      <c r="J30" s="77" t="str">
        <f>IF(COUNTIF(J9,"10.*"),"Member Benefit on and After 10/01/2014","")</f>
        <v/>
      </c>
      <c r="M30" s="31" t="str">
        <f>IF(COUNTIF(J9,"10*"),SUM(G26:I26),"")</f>
        <v/>
      </c>
      <c r="N30" s="5"/>
    </row>
    <row r="31" spans="1:18" ht="15.75" customHeight="1" thickBot="1" x14ac:dyDescent="0.3">
      <c r="A31" s="188"/>
      <c r="B31" s="241"/>
      <c r="C31" s="215"/>
      <c r="D31" s="218"/>
      <c r="E31" s="215"/>
      <c r="F31" s="237"/>
      <c r="G31" s="126" t="str">
        <f>IF(COUNTIF(J9,"10.*"),IF(AND(COUNTIF(A34,"1.*"),COUNTIF(E34,"1.*")),SUM(A31*F31)-((C31*F31)+(E31*F31)),IF(COUNTIF(A34,"1.*"),SUM(A31*F31)-(C31*F31),IF(COUNTIF(E34,"1.*"),SUM(A31*F31)-(E31*F31),IF(COUNTIF(J9,"10.*"),A31*F31,"")))),"")</f>
        <v/>
      </c>
      <c r="H31" s="31" t="str">
        <f>IF(AND(COUNTIF(J9,"10.*"),COUNTIF(A34,"1.*")),SUM(C31*F31),"")</f>
        <v/>
      </c>
      <c r="I31" s="126" t="str">
        <f>IF(COUNTIF(E34,"1.*"),SUM(D30*F30),"")</f>
        <v/>
      </c>
      <c r="J31" s="77" t="str">
        <f>IF(COUNTIF(J9,"10.*"),"First 60 Months With 40 Hours or Less (1%):","")</f>
        <v/>
      </c>
      <c r="M31" s="236"/>
      <c r="N31" s="194"/>
    </row>
    <row r="32" spans="1:18" ht="15.75" customHeight="1" thickBot="1" x14ac:dyDescent="0.3">
      <c r="A32" s="91" t="str">
        <f>IF(COUNTIF(J9,"10.*"),SUM(A29:A31),"")</f>
        <v/>
      </c>
      <c r="B32" s="91" t="str">
        <f>IF(AND(COUNTIF(J9,"10.*"),COUNTIF(A34,"1.*")),SUM(B29:B31),"")</f>
        <v/>
      </c>
      <c r="C32" s="217" t="str">
        <f>IF(AND(COUNTIF(J9,"10.*"),COUNTIF(A34,"1.*")),SUM(C29:C31),"")</f>
        <v/>
      </c>
      <c r="D32" s="91" t="str">
        <f>IF(AND(COUNTIF(J9,"10.*"),COUNTIF(E34,"1.*")),SUM(D29:D31),"")</f>
        <v/>
      </c>
      <c r="E32" s="217" t="str">
        <f>IF(AND(COUNTIF(J9,"10.*"),COUNTIF(E34,"1.*")),SUM(E29:E31),"")</f>
        <v/>
      </c>
      <c r="F32" s="121" t="str">
        <f>IF(COUNTIF(J9,"10.*"),"Subtotal","")</f>
        <v/>
      </c>
      <c r="G32" s="135" t="str">
        <f>IF(COUNTIF(J9,"10.*"),SUM(G29:G31),"")</f>
        <v/>
      </c>
      <c r="H32" s="135" t="str">
        <f>IF(AND(COUNTIF(J9,"10.*"),COUNTIF(A34,"1.*")),SUM(H29:H31),"")</f>
        <v/>
      </c>
      <c r="I32" s="135" t="str">
        <f>IF(AND(COUNTIF(J9,"10.*"),COUNTIF(E34,"1.*")),SUM(I29:I31),"")</f>
        <v/>
      </c>
      <c r="J32" s="77" t="str">
        <f>IF(COUNTIF(J9,"10.*"),"61 or More Months With 40 Hours or Less (1.5%):","")</f>
        <v/>
      </c>
      <c r="M32" s="236"/>
      <c r="N32" s="194"/>
    </row>
    <row r="33" spans="1:16" ht="15.75" customHeight="1" thickBot="1" x14ac:dyDescent="0.3">
      <c r="A33" s="138" t="str">
        <f>IF(COUNTIF(J9,"10.*"),SUM(A17,A21,A26,A32),"")</f>
        <v/>
      </c>
      <c r="B33" s="138" t="str">
        <f>IF(AND(COUNTIF(J9,"10.*"),COUNTIF(A34,"1.*")),SUM(B17,B21,B26,B32),"")</f>
        <v/>
      </c>
      <c r="C33" s="216"/>
      <c r="D33" s="138" t="str">
        <f>IF(AND(COUNTIF(J9,"10.*"),COUNTIF(E34,"1.*")),SUM(D17,D21,D26,D32),"")</f>
        <v/>
      </c>
      <c r="E33" s="216"/>
      <c r="F33" s="211" t="str">
        <f>IF(COUNTIF(J9,"10.*"),"Total","")</f>
        <v/>
      </c>
      <c r="G33" s="127" t="str">
        <f>IF(COUNTIF(J9,"10.*"),SUM(G17,G21,G26,G32),"")</f>
        <v/>
      </c>
      <c r="H33" s="92" t="str">
        <f>IF(AND(COUNTIF(J9,"10.*"),COUNTIF(A34,"1.*")),SUM(H17,H21,H26,H32),"")</f>
        <v/>
      </c>
      <c r="I33" s="127" t="str">
        <f>IF(AND(COUNTIF(J9,"10.*"),COUNTIF(E34,"1.*")),SUM(I17,I21,I26,I32),"")</f>
        <v/>
      </c>
      <c r="J33" s="77" t="str">
        <f>IF(COUNTIF(J9,"10.*"),"Delayed Calculation 2 Retirement Increase:","")</f>
        <v/>
      </c>
      <c r="M33" s="102" t="str">
        <f>IF(COUNTIF(J9,"10.*"),SUM(M31*1%,M32*1.5%),"")</f>
        <v/>
      </c>
      <c r="N33" s="194"/>
    </row>
    <row r="34" spans="1:16" ht="15.75" customHeight="1" thickBot="1" x14ac:dyDescent="0.3">
      <c r="A34" s="567" t="s">
        <v>433</v>
      </c>
      <c r="B34" s="568"/>
      <c r="C34" s="568"/>
      <c r="D34" s="569"/>
      <c r="E34" s="551" t="s">
        <v>221</v>
      </c>
      <c r="F34" s="552"/>
      <c r="G34" s="552"/>
      <c r="H34" s="553"/>
      <c r="J34" s="77" t="str">
        <f>IF(COUNTIF(J9,"10.*"),"Delayed Monthly Benefit Increase:","")</f>
        <v/>
      </c>
      <c r="M34" s="31" t="str">
        <f>IF(COUNTIF(J9,"10.*"),(M28+M29+M30)*M33,"")</f>
        <v/>
      </c>
      <c r="N34" s="194"/>
    </row>
    <row r="35" spans="1:16" ht="14.25" thickBot="1" x14ac:dyDescent="0.3">
      <c r="A35" s="561" t="str">
        <f>IF(COUNTIF(A34,"_"),"","AP 1 QDRO Calculation")</f>
        <v>AP 1 QDRO Calculation</v>
      </c>
      <c r="B35" s="562"/>
      <c r="C35" s="562"/>
      <c r="D35" s="563"/>
      <c r="E35" s="561" t="str">
        <f>IF(COUNTIF(E34,"_"),"","AP 2 QDRO Calculation")</f>
        <v>AP 2 QDRO Calculation</v>
      </c>
      <c r="F35" s="562"/>
      <c r="G35" s="562"/>
      <c r="H35" s="563"/>
      <c r="J35" s="77" t="str">
        <f>IF(COUNTIF(J9,"10.*"),"Delayed 13th Check Increase:","")</f>
        <v/>
      </c>
      <c r="M35" s="31" t="str">
        <f>IF(COUNTIF(J9,"10.*"),(M28+M29)*M33,"")</f>
        <v/>
      </c>
      <c r="N35" s="194"/>
    </row>
    <row r="36" spans="1:16" ht="15.75" customHeight="1" x14ac:dyDescent="0.25">
      <c r="A36" s="220" t="str">
        <f>IF(COUNTIF(A34,"Select*"),"","AP 1 Name:")</f>
        <v>AP 1 Name:</v>
      </c>
      <c r="B36" s="242" t="s">
        <v>489</v>
      </c>
      <c r="C36" s="111" t="str">
        <f>IF(COUNTIF(A34,"Select*"),"","AP 1 DOB:")</f>
        <v>AP 1 DOB:</v>
      </c>
      <c r="D36" s="244">
        <v>27365</v>
      </c>
      <c r="E36" s="220" t="str">
        <f>IF(COUNTIF(E34,"Select*"),"","AP 2 Name:")</f>
        <v/>
      </c>
      <c r="F36" s="177"/>
      <c r="G36" s="111" t="str">
        <f>IF(COUNTIF(E34,"Select*"),"","AP 2 DOB:")</f>
        <v/>
      </c>
      <c r="H36" s="155"/>
      <c r="J36" s="77" t="str">
        <f>IF(COUNTIF(A34,"_"),"",IF(COUNTIF(J9,"10.*"),"Alternate Payee 1 Award:",""))</f>
        <v/>
      </c>
      <c r="M36" s="31" t="str">
        <f>IF(COUNTIF(A34,"_"),"",IF(COUNTIF(J9,"10.*"),D56,""))</f>
        <v/>
      </c>
      <c r="N36" s="194"/>
    </row>
    <row r="37" spans="1:16" ht="27" customHeight="1" x14ac:dyDescent="0.25">
      <c r="A37" s="77" t="str">
        <f>IF(COUNTIF(A34,"Select*"),"","DOM:")</f>
        <v>DOM:</v>
      </c>
      <c r="B37" s="243">
        <v>35539</v>
      </c>
      <c r="C37" s="1" t="str">
        <f>IF(COUNTIF(A34,"Select*"),"","DOS:")</f>
        <v>DOS:</v>
      </c>
      <c r="D37" s="245">
        <v>40522</v>
      </c>
      <c r="E37" s="77" t="str">
        <f>IF(COUNTIF(E34,"Select*"),"","DOM:")</f>
        <v/>
      </c>
      <c r="F37" s="154"/>
      <c r="G37" s="1" t="str">
        <f>IF(COUNTIF(E34,"Select*"),"","DOS:")</f>
        <v/>
      </c>
      <c r="H37" s="156"/>
      <c r="J37" s="77" t="str">
        <f>IF(COUNTIF(A34,"_"),"",IF(COUNTIF(J9,"10.*"),"Alternate Payee 1 13th Check:",""))</f>
        <v/>
      </c>
      <c r="M37" s="31" t="str">
        <f>IF(COUNTIF(A34,"_"),"",IF(COUNTIF(J9,"10.*"),D57,""))</f>
        <v/>
      </c>
      <c r="N37" s="194"/>
    </row>
    <row r="38" spans="1:16" ht="33" customHeight="1" x14ac:dyDescent="0.25">
      <c r="A38" s="142" t="str">
        <f>IF(COUNTIF(A34,"_"),"",IF(COUNTIF(A34,"2.*"),"Total Service Credits:",IF(COUNTIF(A34,"4.*"),"Total Months Worked","")))</f>
        <v/>
      </c>
      <c r="B38" s="112" t="str">
        <f>IF(COUNTIF(A34,"_"),"",IF(COUNTIF(A34,"2.*"),SUM(A11:A16,A19:A20,A23:A25,A29:A31),IF(COUNTIF(A34,"4.*"),SUM('QDRO Month Calc'!B4:B69),"")))</f>
        <v/>
      </c>
      <c r="C38" s="143" t="str">
        <f>IF(COUNTIF(A34,"_"),"",IF(COUNTIF(A34,"2.*"),"Total Credits EDM:",IF(COUNTIF(A34,"3.*"),"",IF(COUNTIF(A34,"4.*"),"Total Months Worked During Marriage",""))))</f>
        <v/>
      </c>
      <c r="D38" s="246"/>
      <c r="E38" s="142" t="str">
        <f>IF(COUNTIF(E34,"Select*"),"",IF(COUNTIF(E34,"2.*"),"Total Service Credits:",IF(COUNTIF(E34,"4.*"),"Total Months Worked","")))</f>
        <v/>
      </c>
      <c r="F38" s="112" t="str">
        <f>IF(COUNTIF(E34,"_"),"",IF(COUNTIF(E34,"2.*"),SUM(A11:A16,A19:A20,A23:A25),IF(COUNTIF(E34,"4.*"),SUM('QDRO Month Calc'!H4:H69),"")))</f>
        <v/>
      </c>
      <c r="G38" s="143" t="str">
        <f>IF(COUNTIF(E34,"_"),"",IF(COUNTIF(E34,"2.*"),"Total Credits EDM:",IF(COUNTIF(E34,"3.*"),"",IF(COUNTIF(E34,"4.*"),"Total Months Worked During Marriage",""))))</f>
        <v/>
      </c>
      <c r="H38" s="157"/>
      <c r="J38" s="77"/>
      <c r="M38" s="31"/>
      <c r="N38" s="194"/>
    </row>
    <row r="39" spans="1:16" ht="27.75" customHeight="1" x14ac:dyDescent="0.25">
      <c r="A39" s="142" t="str">
        <f>IF(COUNTIF(A34,"_"),"",IF(OR(COUNTIF(A34,"2.*"),COUNTIF(A34,"4.*")),"Community Property Percentage:",""))</f>
        <v/>
      </c>
      <c r="B39" s="102" t="str">
        <f>IF(COUNTIF(A34,"_"),"",IF(OR(COUNTIF(A34,"2.*"),COUNTIF(A34,"4.*")),ROUNDDOWN(SUM(D38/B38),4),""))</f>
        <v/>
      </c>
      <c r="C39" s="141" t="str">
        <f>IF(COUNTIF(A34,"_"),"",IF(OR(COUNTIF(A34,"1.*"),COUNTIF(A34,"2.*"),COUNTIF(A34,"4.*")),"Percentage Amount Awarded to AP 1:",""))</f>
        <v/>
      </c>
      <c r="D39" s="247"/>
      <c r="E39" s="142" t="str">
        <f>IF(COUNTIF(E34,"Select*"),"",IF(OR(COUNTIF(E34,"2.*"),COUNTIF(E34,"4.*")),"Community Property Percentage:",""))</f>
        <v/>
      </c>
      <c r="F39" s="102" t="str">
        <f>IF(COUNTIF(E34,"_"),"",IF(OR(COUNTIF(E34,"2.*"),COUNTIF(E34,"4.*")),ROUNDDOWN(SUM(H38/F38),4),""))</f>
        <v/>
      </c>
      <c r="G39" s="141" t="str">
        <f>IF(COUNTIF(E34,"_"),"",IF(OR(COUNTIF(E34,"1.*"),COUNTIF(E34,"2.*"),COUNTIF(E34,"4.*")),"Percentage Amount Awarded to AP 2:",""))</f>
        <v/>
      </c>
      <c r="H39" s="158"/>
      <c r="J39" s="77"/>
      <c r="M39" s="31"/>
      <c r="N39" s="194"/>
    </row>
    <row r="40" spans="1:16" x14ac:dyDescent="0.25">
      <c r="A40" s="77" t="str">
        <f>IF(COUNTIF(A34,"_"),"",IF(COUNTIF(A34,"3.*"),"AP 1 Awarded Amount prior to 09/01/2011:",""))</f>
        <v>AP 1 Awarded Amount prior to 09/01/2011:</v>
      </c>
      <c r="D40" s="248">
        <v>795.42</v>
      </c>
      <c r="E40" s="77" t="str">
        <f>IF(COUNTIF(E34,"Select*"),"",IF(COUNTIF(E34,"3.*"),"AP 2 Awarded Monthly Amount:",""))</f>
        <v/>
      </c>
      <c r="H40" s="159"/>
      <c r="J40" s="249" t="str">
        <f>IF(COUNTIF(J9,"10.*"),"Delayed Calculation 2 Member Monthly Benefit:","Member Monthly Benefit After AP Reductions:")</f>
        <v>Member Monthly Benefit After AP Reductions:</v>
      </c>
      <c r="K40" s="250"/>
      <c r="L40" s="250"/>
      <c r="M40" s="251" t="str">
        <f>IF(COUNTIF(J9,"10.*"),(M28+M29+M30+((M28+M29+M30)*M33))-SUM(D56,H56),"")</f>
        <v/>
      </c>
      <c r="N40" s="252">
        <f>IF(COUNTIF(J9,"10.*"),"",IF(COUNTIF(J9,"1.*"),SUM(N22,N26,N29),IF(COUNTIF(J9,"3.*"),SUM(N20,N26,N29),IF(COUNTIF(J9,"7.*"),SUM(N20,N23,N29),SUM(N20,N23,N27)))))</f>
        <v>3115.95</v>
      </c>
    </row>
    <row r="41" spans="1:16" x14ac:dyDescent="0.25">
      <c r="A41" s="77" t="str">
        <f>IF(COUNTIF(A34,"_"),"",IF(COUNTIF(A34,"3.*"),"AP 1 Awarded Amount on and between 09/01/2011 to 09/30/2014:",""))</f>
        <v>AP 1 Awarded Amount on and between 09/01/2011 to 09/30/2014:</v>
      </c>
      <c r="D41" s="248"/>
      <c r="E41" s="77" t="str">
        <f>IF(COUNTIF(E34,"Select*"),"",IF(COUNTIF(E34,"3.*"),"AP 2 Awarded 13th Check Amount:",""))</f>
        <v/>
      </c>
      <c r="H41" s="159"/>
      <c r="J41" s="249" t="str">
        <f>IF(COUNTIF(J9,"10.*"),"Delayed Calculation 2 Member 13th Check Benefit:","Member 13th Check After AP Reductions:")</f>
        <v>Member 13th Check After AP Reductions:</v>
      </c>
      <c r="K41" s="250"/>
      <c r="L41" s="250"/>
      <c r="M41" s="251" t="str">
        <f>IF(COUNTIF(J9,"10.*"),(M28+M29+((M28+M29)*M33))-SUM(D57,H57),"")</f>
        <v/>
      </c>
      <c r="N41" s="252">
        <f>IF(COUNTIF(J9,"10.*"),"",IF(COUNTIF(J9,"1.*"),SUM(N22,N26,N29),IF(COUNTIF(J9,"3.*"),SUM(N20,N26,N29),IF(COUNTIF(J9,"7.*"),SUM(N20,N23,N29),SUM(N20,N23,N27)))))</f>
        <v>3115.95</v>
      </c>
    </row>
    <row r="42" spans="1:16" x14ac:dyDescent="0.25">
      <c r="A42" s="77" t="str">
        <f>IF(COUNTIF(A34,"_"),"",IF(COUNTIF(A34,"3.*"),"AP 1 Awarded Amount on and after 10/01/2014:",""))</f>
        <v>AP 1 Awarded Amount on and after 10/01/2014:</v>
      </c>
      <c r="D42" s="248"/>
      <c r="E42" s="77"/>
      <c r="H42" s="159"/>
      <c r="J42" s="249" t="str">
        <f>IF(COUNTIF(J9,"10.*"),"Delayed Calculation 1 Monthly Amount","")</f>
        <v/>
      </c>
      <c r="K42" s="250"/>
      <c r="L42" s="250"/>
      <c r="M42" s="251" t="str">
        <f>IF(COUNTIF(J9,"10.*"),M23,"")</f>
        <v/>
      </c>
      <c r="N42" s="252"/>
    </row>
    <row r="43" spans="1:16" x14ac:dyDescent="0.25">
      <c r="A43" s="77" t="str">
        <f>IF(COUNTIF(A34,"_"),"",IF(OR(COUNTIF(A34,"2.*"),COUNTIF(A34,"4.*")),"Final AP 1 Awarded Percentage:",""))</f>
        <v/>
      </c>
      <c r="D43" s="113" t="str">
        <f>IF(COUNTIF(A34,"_"),"",IF(OR(COUNTIF(A34,"2.*"),COUNTIF(A34,"4.*")),ROUNDDOWN(SUM(B39*D39),4),""))</f>
        <v/>
      </c>
      <c r="E43" s="77" t="str">
        <f>IF(COUNTIF(E34,"Select*"),"",IF(OR(COUNTIF(E34,"2.*"),COUNTIF(E34,"4.*")),"Final AP 2 Awarded Percentage:",""))</f>
        <v/>
      </c>
      <c r="H43" s="113" t="str">
        <f>IF(COUNTIF(E34,"Select*"),"",IF(OR(COUNTIF(E34,"2.*"),COUNTIF(E34,"4.*")),ROUNDDOWN(SUM(F39*H39),4),""))</f>
        <v/>
      </c>
      <c r="I43" s="2"/>
      <c r="J43" s="249" t="str">
        <f>IF(COUNTIF(J9,"10.*"),"Delayed Calculation 2 Monthly Amount",IF(OR(COUNTIF(J9,"1.*"),COUNTIF(J9,"3.*"),COUNTIF(J9,"7.*")),"Member Benefit Deferred at Age 65 After AP Reductions:",""))</f>
        <v/>
      </c>
      <c r="K43" s="250"/>
      <c r="L43" s="250"/>
      <c r="M43" s="251" t="str">
        <f>IF(COUNTIF(J9,"10.*"),M40,"")</f>
        <v/>
      </c>
      <c r="N43" s="252" t="str">
        <f>IF(OR(COUNTIF(J9,"1.*"),COUNTIF(J9,"3.*"),COUNTIF(J9,"7.*")),SUM(N20,N23,N27),"")</f>
        <v/>
      </c>
    </row>
    <row r="44" spans="1:16" ht="15.75" customHeight="1" thickBot="1" x14ac:dyDescent="0.3">
      <c r="A44" s="77" t="str">
        <f>IF(COUNTIF(A34,"_"),"",IF(OR(COUNTIF(A34,"1.*"),COUNTIF(A34,"2.*"),COUNTIF(A34,"4.*")),IF(COUNTIF(J9,"10*"),"AP 1 Delayed Calc 1 Benefit Prior to 09/01/2011:","AP 1 Full Benefit Prior to 09/01/2011:"),""))</f>
        <v/>
      </c>
      <c r="D44" s="5" t="str">
        <f>IF(COUNTIF(A34,"_"),"",IF(OR(COUNTIF(A34,"2.*"),COUNTIF(A34,"4.*")),ROUND(N11*D43,2),IF(COUNTIF(A34,"1.*"),H17,"")))</f>
        <v/>
      </c>
      <c r="E44" s="77" t="str">
        <f>IF(COUNTIF(E34,"Select*"),"",IF(OR(COUNTIF(E34,"1.*"),COUNTIF(E34,"2.*"),COUNTIF(E34,"4.*")),"AP 2 Delayed Calc 1 Benefit Prior to 09/01/2011:","AP 2 Full Benefit Prior to 09/01/2011:"))</f>
        <v/>
      </c>
      <c r="H44" s="5" t="str">
        <f>IF(COUNTIF(E34,"Select*"),"",IF(OR(COUNTIF(E34,"2.*"),COUNTIF(E34,"4.*")),N11*H43,IF(COUNTIF(E34,"1.*"),I17,"")))</f>
        <v/>
      </c>
      <c r="J44" s="253" t="str">
        <f>IF(COUNTIF(J9,"10.*"),"Greater of Calculation 1 and 2",IF(OR(COUNTIF(J9,"1.*"),COUNTIF(J9,"3.*"),COUNTIF(J9,"7.*")),"Member 13th Check After AP Reductions:",""))</f>
        <v/>
      </c>
      <c r="K44" s="254"/>
      <c r="L44" s="254" t="str">
        <f>IF(COUNTIF(J9,"10.*"),IF(M42&gt;=M43,"Calculation 1","Calculation 2"),"")</f>
        <v/>
      </c>
      <c r="M44" s="255" t="str">
        <f>IF(COUNTIF(J9,"10.*"),IF(M42&gt;=M43,M42,M43),"")</f>
        <v/>
      </c>
      <c r="N44" s="256" t="str">
        <f>IF(OR(COUNTIF(J9,"1.*"),COUNTIF(J9,"3.*"),COUNTIF(J9,"7.*")),SUM(N20,N23),"")</f>
        <v/>
      </c>
      <c r="P44" s="2"/>
    </row>
    <row r="45" spans="1:16" x14ac:dyDescent="0.25">
      <c r="A45" s="77" t="str">
        <f>IF(COUNTIF(A34,"_"),"",IF(OR(COUNTIF(A34,"1.*"),COUNTIF(A34,"2.*"),COUNTIF(A34,"4.*")),IF(OR(COUNTIF(J9,"1.*"),COUNTIF(J9,"6.*")),"AP 1 Early Retirement Factor:",""),""))</f>
        <v/>
      </c>
      <c r="D45" s="113" t="str">
        <f>IF(OR(COUNTIF(A34,"1.*"),COUNTIF(A34,"2.*"),COUNTIF(A34,"4.*")),IF(OR(COUNTIF(J9,"1.*"),COUNTIF(J9,"6.*")),IF(DATEDIF(C3,C5,"m")&lt;=600,(DATEDIF(C3,C5,"m")-540)*0.1%+40%,IF(DATEDIF(C3,C5,"m")&lt;=660,(DATEDIF(C3,C5,"m")-600)*0.2%+46%,IF((DATEDIF(C3,C5,"m")-660)*0.5%+58%&gt;=100%,100%,(DATEDIF(C3,C5,"m")-660)*0.5%+58%))),""),"")</f>
        <v/>
      </c>
      <c r="E45" s="77" t="str">
        <f>IF(COUNTIF(E34,"_"),"",IF(OR(COUNTIF(E34,"1.*"),COUNTIF(E34,"2.*"),COUNTIF(E34,"4.*")),IF(OR(COUNTIF(J9,"1.*"),COUNTIF(J9,"6.*")),"AP 2 Early Retirement Factor:",""),""))</f>
        <v/>
      </c>
      <c r="H45" s="113" t="str">
        <f>IF(OR(COUNTIF(E34,"1.*"),COUNTIF(E34,"2.*"),COUNTIF(E34,"4.*")),IF(OR(COUNTIF(J9,"1.*"),COUNTIF(J9,"6.*")),IF(DATEDIF(C3,C5,"m")&lt;=600,(DATEDIF(C3,C5,"m")-540)*0.1%+40%,IF(DATEDIF(C3,C5,"m")&lt;=660,(DATEDIF(C3,C5,"m")-600)*0.2%+46%,IF((DATEDIF(C3,C5,"m")-660)*0.5%+58%&gt;=100%,100%,(DATEDIF(C3,C5,"m")-660)*0.5%+58%))),""),"")</f>
        <v/>
      </c>
      <c r="I45" s="119"/>
    </row>
    <row r="46" spans="1:16" x14ac:dyDescent="0.25">
      <c r="A46" s="77" t="str">
        <f>IF(COUNTIF(A34,"_"),"",IF(OR(COUNTIF(A34,"1.*"),COUNTIF(A34,"2.*"),COUNTIF(A34,"4.*")),IF(OR(COUNTIF(J9,"1.*"),COUNTIF(J9,"6.*")),"AP 1 Early Benefit Prior to 09/01/2011:",""),""))</f>
        <v/>
      </c>
      <c r="D46" s="5" t="str">
        <f>IF(OR(COUNTIF(A34,"Select*"),COUNTIF(A34,"3.*")),"",IF(OR(COUNTIF(A34,"2.*"),COUNTIF(A34,"4.*")),IF(OR(COUNTIF(J9,"1.*"),COUNTIF(J9,"6.*")),D44*D45,""),IF(COUNTIF(A34,"1.*"),IF(OR(COUNTIF(J9,"1.*"),COUNTIF(J9,"6.*")),ROUND(D44*D45,2),""))))</f>
        <v/>
      </c>
      <c r="E46" s="77" t="str">
        <f>IF(COUNTIF(E34,"_"),"",IF(OR(COUNTIF(E34,"1.*"),COUNTIF(E34,"2.*"),COUNTIF(E34,"4.*")),IF(OR(COUNTIF(J9,"1.*"),COUNTIF(J9,"6.*")),"AP 2 Early Benefit Prior to 09/01/2011:",""),""))</f>
        <v/>
      </c>
      <c r="H46" s="5" t="str">
        <f>IF(OR(COUNTIF(E34,"Select*"),COUNTIF(E34,"3.*")),"",IF(OR(COUNTIF(E34,"2.*"),COUNTIF(E34,"4.*")),IF(OR(COUNTIF(J9,"1.*"),COUNTIF(J9,"6.*")),H44*H45,""),IF(COUNTIF(E34,"1.*"),IF(OR(COUNTIF(J9,"1.*"),COUNTIF(J9,"6.*")),H44*H45,""))))</f>
        <v/>
      </c>
    </row>
    <row r="47" spans="1:16" ht="15.75" customHeight="1" x14ac:dyDescent="0.25">
      <c r="A47" s="77" t="str">
        <f>IF(COUNTIF(A34,"_"),"",IF(OR(COUNTIF(A34,"1.*"),COUNTIF(A34,"2.*"),COUNTIF(A34,"4.*")),IF(COUNTIF(J9,"10*"),"AP 1 Delayed Calc 1 Benefit on 09/01/2011 to 09/30/2014:","AP 1 Full Benefit on 09/01/2011 to 09/30/2014:"),""))</f>
        <v/>
      </c>
      <c r="D47" s="5" t="str">
        <f>IF(OR(COUNTIF(A34,"Select*"),COUNTIF(A34,"3.*")),"",IF(COUNTIF(A34,"1.*"),H21,IF(OR(COUNTIF(A34,"2.*"),COUNTIF(A34,"4.*")),IF(COUNTIF(J9,"2.*"),"",ROUND(N12*D43,2)))))</f>
        <v/>
      </c>
      <c r="E47" s="77" t="str">
        <f>IF(COUNTIF(E34,"Select*"),"",IF(OR(COUNTIF(E34,"1.*"),COUNTIF(E34,"2.*"),COUNTIF(E34,"4.*")),IF(COUNTIF(J9,"10*"),"AP 2 Delayed Calc 1 Benefit on 09/01/2011 to 09/30/2014:","AP 2 Full Benefit on 09/01/2011 to 09/30/2014:")))</f>
        <v/>
      </c>
      <c r="H47" s="5" t="str">
        <f>IF(COUNTIF(E34,"Select*"),"",IF(OR(COUNTIF(E34,"2.*"),COUNTIF(E34,"4.*")),N12*H43,IF(COUNTIF(E34,"1.*"),I21,"")))</f>
        <v/>
      </c>
      <c r="I47" s="2"/>
    </row>
    <row r="48" spans="1:16" x14ac:dyDescent="0.25">
      <c r="A48" s="77" t="str">
        <f>IF(COUNTIF(A34,"_"),"",IF(OR(COUNTIF(A34,"1.*"),COUNTIF(A34,"2.*"),COUNTIF(A34,"4.*")),IF(OR(COUNTIF(J9,"1.*"),COUNTIF(J9,"3.*"),COUNTIF(J9,"4.*"),COUNTIF(J9,"6.*")),"AP 1 Early Retirement Factor:",""),""))</f>
        <v/>
      </c>
      <c r="D48" s="113" t="str">
        <f>IF(OR(COUNTIF(A34,"1.*"),COUNTIF(A34,"2.*"),COUNTIF(A34,"4.*")),IF(OR(COUNTIF(J9,"1.*"),COUNTIF(J9,"3.*"),COUNTIF(J9,"4.*"),COUNTIF(J9,"6.*")),IF(DATEDIF(C3,C5,"m")&lt;=600,(DATEDIF(C3,C5,"m")-540)*0.1%+22%,IF(DATEDIF(C3,C5,"m")&lt;=660,(DATEDIF(C3,C5,"m")-600)*0.2%+28%,IF((DATEDIF(C3,C5,"m")-660)*0.5%+40%&gt;=100%,100%,(DATEDIF(C3,C5,"m")-660)*0.5%+40%))),""),"")</f>
        <v/>
      </c>
      <c r="E48" s="77" t="str">
        <f>IF(COUNTIF(E34,"_"),"",IF(OR(COUNTIF(E34,"1.*"),COUNTIF(E34,"2.*"),COUNTIF(E34,"4.*")),IF(OR(COUNTIF(J9,"1.*"),COUNTIF(J9,"3.*"),COUNTIF(J9,"4.*"),COUNTIF(J9,"6.*")),"AP 2 Early Retirement Factor:",""),""))</f>
        <v/>
      </c>
      <c r="H48" s="113" t="str">
        <f>IF(OR(COUNTIF(E34,"1.*"),COUNTIF(E34,"2.*"),COUNTIF(E34,"4.*")),IF(OR(COUNTIF(J9,"1.*"),COUNTIF(J9,"3.*"),COUNTIF(J9,"4.*"),COUNTIF(J9,"6.*")),IF(DATEDIF(C3,C5,"m")&lt;=600,(DATEDIF(C3,C5,"m")-540)*0.1%+22%,IF(DATEDIF(C3,C5,"m")&lt;=660,(DATEDIF(C3,C5,"m")-600)*0.2%+28%,IF((DATEDIF(C3,C5,"m")-660)*0.5%+40%&gt;=100%,100%,(DATEDIF(C3,C5,"m")-660)*0.5%+40%))),""),"")</f>
        <v/>
      </c>
    </row>
    <row r="49" spans="1:8" x14ac:dyDescent="0.25">
      <c r="A49" s="77" t="str">
        <f>IF(COUNTIF(A34,"_"),"",IF(OR(COUNTIF(A34,"1.*"),COUNTIF(A34,"2.*"),COUNTIF(A34,"4.*")),IF(OR(COUNTIF(J9,"1.*"),COUNTIF(J9,"3.*"),COUNTIF(J9,"4.*"),COUNTIF(J9,"6.*")),"AP 1 Early Benefit from 09/01/2011 to 09/30/2014:",""),""))</f>
        <v/>
      </c>
      <c r="D49" s="5" t="str">
        <f>IF(COUNTIF(A34,"_"),"",IF(OR(COUNTIF(A34,"1.*"),COUNTIF(A34,"2.*"),COUNTIF(A34,"4.*")),IF(OR(COUNTIF(J9,"1.*"),COUNTIF(J9,"3.*"),COUNTIF(J9,"4.*"),COUNTIF(J9,"6.*")),ROUND(D47*D48,2),""),""))</f>
        <v/>
      </c>
      <c r="E49" s="77" t="str">
        <f>IF(COUNTIF(E34,"_"),"",IF(OR(COUNTIF(E34,"1.*"),COUNTIF(E34,"2.*"),COUNTIF(E34,"4.*")),IF(OR(COUNTIF(J9,"1.*"),COUNTIF(J9,"3.*"),COUNTIF(J9,"4.*"),COUNTIF(J9,"6.*")),"AP 2 Early Benefit from 09/01/2011 to 09/30/2014:",""),""))</f>
        <v/>
      </c>
      <c r="H49" s="5" t="str">
        <f>IF(COUNTIF(E34,"_"),"",IF(OR(COUNTIF(E34,"1.*"),COUNTIF(E34,"2.*"),COUNTIF(E34,"4.*")),IF(OR(COUNTIF(J9,"1.*"),COUNTIF(J9,"3.*"),COUNTIF(J9,"4.*"),COUNTIF(J9,"6.*")),H47*H48,""),""))</f>
        <v/>
      </c>
    </row>
    <row r="50" spans="1:8" x14ac:dyDescent="0.25">
      <c r="A50" s="77" t="str">
        <f>IF(COUNTIF(A34,"_"),"",IF(OR(COUNTIF(A34,"1.*"),COUNTIF(A34,"2.*"),COUNTIF(A34,"4.*")),IF(COUNTIF(J9,"10*"),"AP 1 Delayed Calc 1 Benefit on and after 10/01/2014:","AP 1 Full Benefit After 10/01/2014:"),""))</f>
        <v/>
      </c>
      <c r="D50" s="5" t="str">
        <f>IF(OR(COUNTIF(A34,"Select*"),COUNTIF(A34,"3.*")),"",IF(AND(COUNTIF(A34,"1.*"),COUNTIF(J9,"10.*")),H26+H32,IF(COUNTIF(A34,"1.*"),H26,IF(OR(COUNTIF(A34,"2.*"),COUNTIF(A34,"4.*")),IF(COUNTIF(J9,"2.*"),"",ROUND(N13*D43,2))))))</f>
        <v/>
      </c>
      <c r="E50" s="77" t="str">
        <f>IF(COUNTIF(E34,"Select*"),"",IF(OR(COUNTIF(E34,"1.*"),COUNTIF(E34,"2.*"),COUNTIF(E34,"4.*")),IF(COUNTIF(J9,"10.*"),"AP 2 Delayed Calc 1 Benefit on and after 10/01/2014:","AP 2 Full Benefit After 10/01/2014:")))</f>
        <v/>
      </c>
      <c r="H50" s="5" t="str">
        <f>IF(COUNTIF(E34,"_"),"",IF(AND(COUNTIF(E34,"1.*"),COUNTIF(J9,"10.*")),I26+I32,IF(OR(COUNTIF(E34,"2.*"),COUNTIF(E34,"4.*")),N13*H43,IF(COUNTIF(E34,"1.*"),I26,""))))</f>
        <v/>
      </c>
    </row>
    <row r="51" spans="1:8" x14ac:dyDescent="0.25">
      <c r="A51" s="77" t="str">
        <f>IF(OR(COUNTIF(A34,"Select*"),COUNTIF(A34,"3.*")),"",IF(OR(COUNTIF(A34,"1.*"),COUNTIF(A34,"2.*"),COUNTIF(A34,"4.*")),IF(OR(COUNTIF(J9,"1.*"),COUNTIF(J9,"3.*"),COUNTIF(J9,"4.*"),COUNTIF(J9,"6.*"),COUNTIF(J9,"7.*"),COUNTIF(J9,"8.*")),"AP 1 Early Retirement Factor:",IF(COUNTIF(J9,"10.*"),"AP 1 Delayed Calc 1 Monthly Benefit:",""))))</f>
        <v/>
      </c>
      <c r="C51" s="31" t="str">
        <f>IF(OR(COUNTIF(A34,"Select*"),COUNTIF(A34,"3.*")),"",IF(OR(COUNTIF(A34,"1.*"),COUNTIF(A34,"2.*"),COUNTIF(A34,"4.*")),IF(COUNTIF(J9,"10.*"),D44+D47+D50,"")))</f>
        <v/>
      </c>
      <c r="D51" s="113" t="str">
        <f>IF(OR(COUNTIF(A34,"1.*"),COUNTIF(A34,"2.*"),COUNTIF(A34,"4.*")),IF(OR(COUNTIF(J9,"1.*"),COUNTIF(J9,"3.*"),COUNTIF(J9,"4.*"),COUNTIF(J9,"6.*"),COUNTIF(J9,"7.*"),COUNTIF(J9,"8.*")),IF(DATEDIF(C3,C5,"m")&lt;=600,(DATEDIF(C3,C5,"m")-540)*0.1%+22%,IF(DATEDIF(C3,C5,"m")&lt;=660,(DATEDIF(C3,C5,"m")-600)*0.2%+28%,IF((DATEDIF(C3,C5,"m")-660)*0.5%+40%&gt;=100%,100%,(DATEDIF(C3,C5,"m")-660)*0.5%+40%))),""),"")</f>
        <v/>
      </c>
      <c r="E51" s="77" t="str">
        <f>IF(COUNTIF(E34,"Select*"),"",IF(OR(COUNTIF(E34,"1.*"),COUNTIF(E34,"2.*"),COUNTIF(E34,"4.*")),IF(OR(COUNTIF(J9,"1.*"),COUNTIF(J9,"3.*"),COUNTIF(J9,"4.*"),COUNTIF(J9,"6.*"),COUNTIF(J9,"7.*"),COUNTIF(J9,"8.*")),"AP 2 Early Retirement Factor:",IF(COUNTIF(J9,"10.*"),"AP 1 Delayed Calc 1 Monthly Benefit:",""))))</f>
        <v/>
      </c>
      <c r="H51" s="113" t="str">
        <f>IF(OR(COUNTIF(E34,"1.*"),COUNTIF(E34,"2.*"),COUNTIF(E34,"4.*")),IF(OR(COUNTIF(J9,"1.*"),COUNTIF(J9,"3.*"),COUNTIF(J9,"4.*"),COUNTIF(J9,"6.*"),COUNTIF(J9,"7.*"),COUNTIF(J9,"8.*")),IF(DATEDIF(C3,C5,"m")&lt;=600,(DATEDIF(C3,C5,"m")-540)*0.1%+22%,IF(DATEDIF(C3,C5,"m")&lt;=660,(DATEDIF(C3,C5,"m")-600)*0.2%+28%,IF((DATEDIF(C3,C5,"m")-660)*0.5%+40%&gt;=100%,100%,(DATEDIF(C3,C5,"m")-660)*0.5%+40%))),""),"")</f>
        <v/>
      </c>
    </row>
    <row r="52" spans="1:8" ht="27" customHeight="1" x14ac:dyDescent="0.25">
      <c r="A52" s="77" t="str">
        <f>IF(OR(COUNTIF(A34,"Select*"),COUNTIF(A34,"3.*")),"",IF(OR(COUNTIF(A34,"1.*"),COUNTIF(A34,"2.*"),COUNTIF(A34,"4.*")),IF(OR(COUNTIF(J9,"1.*"),COUNTIF(J9,"3.*"),COUNTIF(J9,"4.*"),COUNTIF(J9,"6.*"),COUNTIF(J9,"7.*"),COUNTIF(J9,"8.*")),"AP 1 Early Benefit on and after 10/01/2014:",IF(COUNTIF(J9,"10.*"),"AP 1 Delayed Calc 1 13th Check:",""))))</f>
        <v/>
      </c>
      <c r="C52" s="31" t="str">
        <f>IF(OR(COUNTIF(A34,"Select*"),COUNTIF(A34,"3.*")),"",IF(OR(COUNTIF(A34,"1.*"),COUNTIF(A34,"2.*"),COUNTIF(A34,"4.*")),IF(COUNTIF(J9,"10.*"),D44+D47,"")))</f>
        <v/>
      </c>
      <c r="D52" s="5" t="str">
        <f>IF(OR(COUNTIF(A34,"1.*"),COUNTIF(A34,"2.*"),COUNTIF(A34,"4.*")),IF(OR(COUNTIF(J9,"1.*"),COUNTIF(J9,"3.*"),COUNTIF(J9,"4.*"),COUNTIF(J9,"6.*"),COUNTIF(J9,"7.*"),COUNTIF(J9,"8.*")),ROUND(D50*D51,2),""),"")</f>
        <v/>
      </c>
      <c r="E52" s="77" t="str">
        <f>IF(COUNTIF(E34,"Select*"),"",IF(OR(COUNTIF(E34,"1.*"),COUNTIF(E34,"2.*"),COUNTIF(E34,"4.*")),IF(OR(COUNTIF(J9,"1.*"),COUNTIF(J9,"3.*"),COUNTIF(J9,"4.*"),COUNTIF(J9,"6.*"),COUNTIF(J9,"7.*"),COUNTIF(J9,"8.*")),"AP 2 Early Benefit on and after 10/01/2014:",""),""))</f>
        <v/>
      </c>
      <c r="H52" s="5" t="str">
        <f>IF(OR(COUNTIF(E34,"1.*"),COUNTIF(E34,"2.*"),COUNTIF(E34,"4.*")),IF(OR(COUNTIF(J9,"1.*"),COUNTIF(J9,"3.*"),COUNTIF(J9,"4.*"),COUNTIF(J9,"6.*"),COUNTIF(J9,"7.*"),COUNTIF(J9,"8.*")),H50*H51,""),"")</f>
        <v/>
      </c>
    </row>
    <row r="53" spans="1:8" x14ac:dyDescent="0.25">
      <c r="A53" s="142" t="str">
        <f>IF(OR(COUNTIF(A34,"Select*"),COUNTIF(A34,"3.*")),"",IF(COUNTIF(J9,"10.*"),"Pre-65 Pension Credits:",""))</f>
        <v/>
      </c>
      <c r="B53" s="112" t="str">
        <f>IF(OR(COUNTIF(A34,"_"),COUNTIF(A34,"3.*")),"",IF(COUNTIF(J9,"10.*"),A27,""))</f>
        <v/>
      </c>
      <c r="C53" s="222" t="str">
        <f>IF(OR(COUNTIF(A34,"_"),COUNTIF(A34,"3.*")),"",IF(COUNTIF(J9,"10.*"),"Pre-65 Pension Credits EDM:",""))</f>
        <v/>
      </c>
      <c r="D53" s="221" t="str">
        <f>IF(OR(COUNTIF(A34,"Select*"),COUNTIF(A34,"3.*")),"",IF(COUNTIF(J9,"10.*"),IF(COUNTIF(A34,"1.*"),B27,IF(OR(COUNTIF(A34,"2.*"),COUNTIF(A34,"4.*")),D38,"")),""))</f>
        <v/>
      </c>
      <c r="E53" s="77"/>
      <c r="H53" s="5"/>
    </row>
    <row r="54" spans="1:8" x14ac:dyDescent="0.25">
      <c r="A54" s="142" t="str">
        <f>IF(COUNTIF(J9,"10.*"),IF(OR(COUNTIF(A34,"2.*"),COUNTIF(A34,"4.*")),"Community Property Percentage:",""),"")</f>
        <v/>
      </c>
      <c r="B54" s="102" t="str">
        <f>IF(COUNTIF(A34,"Select*"),"",IF(COUNTIF(J9,"10.*"),IF(OR(COUNTIF(A34,"2.*"),COUNTIF(A34,"4.*")),ROUNDDOWN(SUM(D38/B53),4),""),""))</f>
        <v/>
      </c>
      <c r="C54" s="222" t="str">
        <f>IF(COUNTIF(J9,"10.*"),C39,"")</f>
        <v/>
      </c>
      <c r="D54" s="113" t="str">
        <f>IF(OR(COUNTIF(A34,"Select*"),COUNTIF(A34,"3.*")),"",IF(COUNTIF(J9,"10.*"),D39,""))</f>
        <v/>
      </c>
      <c r="E54" s="77"/>
      <c r="H54" s="5"/>
    </row>
    <row r="55" spans="1:8" x14ac:dyDescent="0.25">
      <c r="A55" s="559" t="str">
        <f>IF(OR(COUNTIF(A34,"Select*"),COUNTIF(A34,"3.*")),"",IF(COUNTIF(J9,"10.*"),"Final AP 1 Awarded Percentage:",""))</f>
        <v/>
      </c>
      <c r="B55" s="560"/>
      <c r="C55" s="222"/>
      <c r="D55" s="113" t="str">
        <f>IF(COUNTIF(J9,"10.*"),IF(OR(COUNTIF(A34,"2.*"),COUNTIF(A34,"4.*")),ROUNDDOWN(B54*D54,4),IF(COUNTIF(A34,"1.*"),ROUNDDOWN((D53/B53)*D54,4),"")),"")</f>
        <v/>
      </c>
      <c r="E55" s="77"/>
      <c r="H55" s="5"/>
    </row>
    <row r="56" spans="1:8" ht="13.5" customHeight="1" x14ac:dyDescent="0.25">
      <c r="A56" s="77" t="str">
        <f>IF(COUNTIF(A34,"Select*"),"",IF(COUNTIF(J9,"10.*"),IF(COUNTIF(A34,"3.*"),"AP 1 Delayed Calc 2 Monthly Benefit:","AP 1 Awarded Monthly Amount:"),"AP 1 Awarded Monthly Amount:"))</f>
        <v>AP 1 Awarded Monthly Amount:</v>
      </c>
      <c r="C56" s="222"/>
      <c r="D56" s="5">
        <f>IF(COUNTIF(A34,"Select*"),"",IF(COUNTIF(A34,"3.*"),D40+D41+D42,IF(COUNTIF(J9,"10.*"),IF(COUNTIF(A34,"3.*"),SUM(D40:D42),IF(OR(COUNTIF(A34,"2.*"),COUNTIF(A34,"4.*")),IF(COUNTIF(E34,"1.*"),(M28+M34)*(D55),ROUND((M28+M29+M30+M34)*D55,2)),IF(COUNTIF(A34,"1.*"),(H17+H21+H26)+((H17+H21+H26)*M33),""))),IF(OR(COUNTIF(J9,"1.*"),COUNTIF(J9,"6.*")),D46+D49+D52,IF(COUNTIF(J9,"2.*"),D44,IF(OR(COUNTIF(J9,"3.*"),COUNTIF(J9,"4.*")),D44+D49+D52,IF(OR(COUNTIF(J9,"5.*"),COUNTIF(J9,"9.*")),D44+D47+D50,IF(OR(COUNTIF(J9,"7.*"),COUNTIF(J9,"8.*")),D44+D47+D52,""))))))))</f>
        <v>795.42</v>
      </c>
      <c r="E56" s="77" t="str">
        <f>IF(COUNTIF(E34,"Select*"),"",IF(COUNTIF(J9,"10.*"),IF(COUNTIF(E34,"3.*"),"AP 1 Delayed Calc 2 Monthly Benefit:",""),"AP 1 Awarded Monthly Amount:"))</f>
        <v/>
      </c>
      <c r="H56" s="5"/>
    </row>
    <row r="57" spans="1:8" ht="15.75" customHeight="1" thickBot="1" x14ac:dyDescent="0.3">
      <c r="A57" s="139" t="str">
        <f>IF(COUNTIF(A34,"Select*"),"",IF(COUNTIF(J9,"10.*"),IF(COUNTIF(A34,"3.*"),"AP 1 Delayed Calc 2 13th Check Benefit:","AP 1 Awarded 13th Check Amount:"),"AP 1 Awarded 13th Check Amount:"))</f>
        <v>AP 1 Awarded 13th Check Amount:</v>
      </c>
      <c r="B57" s="19"/>
      <c r="C57" s="223"/>
      <c r="D57" s="85">
        <f>IF(COUNTIF(A34,"Select*"),"",IF(COUNTIF(A34,"3.*"),D40+D41+D42,IF(COUNTIF(J9,"10.*"),IF(COUNTIF(A34,"3.*"),SUM(D40:D41),IF(OR(COUNTIF(A34,"2.*"),COUNTIF(A34,"4.*")),IF(COUNTIF(E34,"1.*"),(M29+(M29*M33))*(D55),(M29+M28+((M28+M29)*M33))*D55),IF(COUNTIF(A34,"1.*"),(H17+H21)+((H17+H21)*M33),""))),IF(OR(COUNTIF(J9,"1.*"),COUNTIF(J9,"6.*")),D46+D49,IF(COUNTIF(J9,"2.*"),D44,IF(OR(COUNTIF(J9,"3.*"),COUNTIF(J9,"4.*")),D44+D49,IF(OR(COUNTIF(J9,"5.*"),COUNTIF(J9,"9.*")),D44+D47+D50,IF(OR(COUNTIF(J9,"7.*"),COUNTIF(J9,"8.*")),D44+D47+D50,""))))))))</f>
        <v>795.42</v>
      </c>
      <c r="E57" s="139" t="str">
        <f>IF(COUNTIF(E34,"Select*"),"",IF(COUNTIF(J9,"10.*"),IF(COUNTIF(E34,"3.*"),"AP 1 Delayed Calc 2 13th Check Benefit:",""),"AP 1 Awarded 13th Check Amount:"))</f>
        <v/>
      </c>
      <c r="F57" s="19"/>
      <c r="G57" s="19"/>
      <c r="H57" s="85"/>
    </row>
    <row r="58" spans="1:8" hidden="1" x14ac:dyDescent="0.25">
      <c r="A58" s="77" t="str">
        <f>IF(COUNTIF(J9,"10.*"),"Delayed Calculation 2 Increase:","")</f>
        <v/>
      </c>
      <c r="D58" s="113" t="str">
        <f>IF(COUNTIF(J9,"10.*"),M33,"")</f>
        <v/>
      </c>
      <c r="H58" s="5"/>
    </row>
    <row r="59" spans="1:8" hidden="1" x14ac:dyDescent="0.25">
      <c r="A59" s="77" t="str">
        <f>IF(COUNTIF(A34,"_"),"",IF(COUNTIF(J9,"10.*"),"AP 1 Delayed Calc 2 Monthly Benefit:",IF(OR(COUNTIF(A34,"1.*"),COUNTIF(A34,"2.*"),COUNTIF(A34,"4.*")),"AP 1 Total Monthly Benefit:","")))</f>
        <v/>
      </c>
      <c r="C59" s="4"/>
      <c r="D59" s="5" t="b">
        <f>IF(COUNTIF(A34,"_"),"",IF(OR(COUNTIF(A34,"1.*"),COUNTIF(A34,"2.*"),COUNTIF(A34,"4.*")),IF(OR(COUNTIF(J9,"1.*"),COUNTIF(J9,"6.*")),SUM(D46,D49,D52),IF(OR(COUNTIF(J9,"3.*"),COUNTIF(J9,"4.*"),COUNTIF(J9,"6.*")),SUM(D44,D49,D52),IF(OR(COUNTIF(J9,"7.*"),COUNTIF(J9,"8.*")),SUM(D44,D47,D52),IF(COUNTIF(J9,"10.*"),D56+(D56*D58),SUM(D44,D47,D50)))))))</f>
        <v>0</v>
      </c>
      <c r="H59" s="5"/>
    </row>
    <row r="60" spans="1:8" hidden="1" x14ac:dyDescent="0.25">
      <c r="A60" s="77" t="str">
        <f>IF(COUNTIF(A34,"_"),"",IF(COUNTIF(J9,"10.*"),"AP 1 Delayed Calc 2 13th Check Benefit:",IF(OR(COUNTIF(A34,"1.*"),COUNTIF(A34,"2.*"),COUNTIF(A34,"4.*")),"AP 1 13th Check:","")))</f>
        <v/>
      </c>
      <c r="D60" s="5" t="str">
        <f>IF(OR(COUNTIF(A34,"_"),COUNTIF(A34,"3.*")),"",IF(OR(COUNTIF(A34,"1.*"),COUNTIF(A34,"2.*"),COUNTIF(A34,"4.*")),IF(OR(COUNTIF(J9,"1.*"),COUNTIF(J9,"6.*")),SUM(D46,D49),IF(OR(COUNTIF(J9,"3.*"),COUNTIF(J9,"4.*"),COUNTIF(J9,"6.*")),SUM(D44,D49),IF(OR(COUNTIF(J9,"7.*"),COUNTIF(J9,"8.*")),SUM(D44,D47),IF(COUNTIF(J9,"10.*"),D57+(D57*D58),SUM(D44,D47)))))))</f>
        <v/>
      </c>
      <c r="E60" s="1" t="str">
        <f>IF(COUNTIF(E34,"_"),"",IF(OR(COUNTIF(E34,"1.*"),COUNTIF(E34,"2.*"),COUNTIF(E34,"4.*")),"AP 2 Total Monthly Benefit:",""))</f>
        <v/>
      </c>
      <c r="H60" s="5" t="str">
        <f>IF(COUNTIF(E34,"_"),"",IF(OR(COUNTIF(E34,"1.*"),COUNTIF(E34,"2.*"),COUNTIF(E34,"4.*")),IF(OR(COUNTIF(J9,"1.*"),COUNTIF(J9,"6.*")),SUM(H46,H49,H52),IF(OR(COUNTIF(J9,"3.*"),COUNTIF(J9,"4.*"),COUNTIF(J9,"6.*")),SUM(H44,H49,H52),IF(OR(COUNTIF(J9,"7.*"),COUNTIF(J9,"8.*")),SUM(H44,H47,H52),SUM(H44,H47,H50)))),""))</f>
        <v/>
      </c>
    </row>
    <row r="61" spans="1:8" ht="14.25" hidden="1" thickBot="1" x14ac:dyDescent="0.3">
      <c r="A61" s="139" t="str">
        <f>IF(COUNTIF(J9,"10.*"),"Greater of Calc 1 and 2:","")</f>
        <v/>
      </c>
      <c r="B61" s="19"/>
      <c r="C61" s="19" t="b">
        <f>IF(COUNTIF(J9,"10.*"),IF(C51&gt;=D59,"Calculation 1",IF(D59&gt;C51,"Calculation 2","")))</f>
        <v>0</v>
      </c>
      <c r="D61" s="85" t="b">
        <f>IF(COUNTIF(J9,"10.*"),IF(C51&gt;=D56,C51,IF(D56&gt;C51,D56,"")))</f>
        <v>0</v>
      </c>
      <c r="E61" s="19" t="str">
        <f>IF(COUNTIF(E34,"_"),"",IF(OR(COUNTIF(E34,"1.*"),COUNTIF(E34,"2.*"),COUNTIF(E34,"4.*")),"AP 2 13th Check:",""))</f>
        <v/>
      </c>
      <c r="F61" s="19"/>
      <c r="G61" s="19"/>
      <c r="H61" s="85" t="b">
        <f>IF(OR(COUNTIF(E34,"_"),COUNTIF(E34,"3.*")),"",IF(OR(COUNTIF(E34,"1.*"),COUNTIF(E34,"2.*"),COUNTIF(E34,"4.*")),IF(OR(COUNTIF(J9,"1.*"),COUNTIF(J9,"6.*")),SUM(H46,H49),IF(OR(COUNTIF(J9,"3.*"),COUNTIF(J9,"4.*"),COUNTIF(J9,"6.*")),SUM(H44,H49),IF(OR(COUNTIF(J9,"7.*"),COUNTIF(J9,"8.*")),SUM(H44,H47),SUM(H44,H47))))))</f>
        <v>0</v>
      </c>
    </row>
  </sheetData>
  <mergeCells count="21">
    <mergeCell ref="A55:B55"/>
    <mergeCell ref="O9:R9"/>
    <mergeCell ref="O17:R17"/>
    <mergeCell ref="A35:D35"/>
    <mergeCell ref="E35:H35"/>
    <mergeCell ref="A28:I28"/>
    <mergeCell ref="A9:I9"/>
    <mergeCell ref="J9:N9"/>
    <mergeCell ref="J15:N15"/>
    <mergeCell ref="J10:N10"/>
    <mergeCell ref="A18:I18"/>
    <mergeCell ref="A22:I22"/>
    <mergeCell ref="A34:D34"/>
    <mergeCell ref="A1:I1"/>
    <mergeCell ref="J1:R1"/>
    <mergeCell ref="E34:H34"/>
    <mergeCell ref="F2:G2"/>
    <mergeCell ref="M2:N2"/>
    <mergeCell ref="M4:N4"/>
    <mergeCell ref="E8:G8"/>
    <mergeCell ref="J25:N25"/>
  </mergeCells>
  <dataValidations count="3">
    <dataValidation type="list" allowBlank="1" showInputMessage="1" showErrorMessage="1" promptTitle="Pension Type" sqref="J9:N9" xr:uid="{60E7A582-73DF-4B73-B2CB-B833DF006BDC}">
      <formula1>"1. Early Retirement, 2. Regular at 62, 3. Regular at 62 &amp; Early, 4. Regular at 62 &amp; Disability, 5. Regular at 65, 6. Disability, 7. Service Pre-Age 55 &amp; Early, 8. Service Pre-Age 55 &amp; Disability Pension, 9. Service Pension, 10. Delayed Retirement"</formula1>
    </dataValidation>
    <dataValidation type="list" allowBlank="1" showInputMessage="1" showErrorMessage="1" sqref="E34:H34" xr:uid="{4FA767E5-0AB3-4198-B77E-47490222C33C}">
      <formula1>"Select AP 2 Award Type,1. % Earned During Marriage,2. Brown Formula,3. AP in Pay Status, 4. QDRO by Months"</formula1>
    </dataValidation>
    <dataValidation type="list" allowBlank="1" showInputMessage="1" showErrorMessage="1" sqref="A34:D34" xr:uid="{CB62DEFB-6B08-43BD-A146-361E642260A1}">
      <formula1>"Select AP 1 Award Type,1. % Earned During Marriage,2. Brown Formula,3. AP in Pay Status, 4. QDRO by Months"</formula1>
    </dataValidation>
  </dataValidations>
  <pageMargins left="0.1" right="0.1" top="0.1" bottom="0.1" header="0.3" footer="0.3"/>
  <pageSetup scale="80" fitToWidth="0" fitToHeight="0" orientation="portrait" r:id="rId1"/>
  <colBreaks count="1" manualBreakCount="1">
    <brk id="9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FD98-8204-4B90-B227-9FF519EA91AE}">
  <sheetPr>
    <pageSetUpPr fitToPage="1"/>
  </sheetPr>
  <dimension ref="A1:L69"/>
  <sheetViews>
    <sheetView zoomScale="85" zoomScaleNormal="85" workbookViewId="0">
      <selection activeCell="L2" sqref="L2"/>
    </sheetView>
  </sheetViews>
  <sheetFormatPr defaultRowHeight="15" x14ac:dyDescent="0.25"/>
  <cols>
    <col min="1" max="1" width="13" bestFit="1" customWidth="1"/>
    <col min="2" max="2" width="17.42578125" bestFit="1" customWidth="1"/>
    <col min="3" max="3" width="18.140625" bestFit="1" customWidth="1"/>
    <col min="5" max="5" width="21.5703125" bestFit="1" customWidth="1"/>
    <col min="6" max="6" width="20.5703125" customWidth="1"/>
    <col min="7" max="7" width="13.28515625" bestFit="1" customWidth="1"/>
    <col min="8" max="8" width="20.28515625" bestFit="1" customWidth="1"/>
    <col min="9" max="9" width="20.85546875" bestFit="1" customWidth="1"/>
    <col min="11" max="11" width="21" bestFit="1" customWidth="1"/>
    <col min="12" max="12" width="21" customWidth="1"/>
  </cols>
  <sheetData>
    <row r="1" spans="1:12" x14ac:dyDescent="0.25">
      <c r="A1" s="570" t="s">
        <v>177</v>
      </c>
      <c r="B1" s="570"/>
      <c r="C1" s="570"/>
      <c r="D1" s="570"/>
      <c r="E1" s="570"/>
      <c r="F1" s="570"/>
      <c r="G1" s="570" t="s">
        <v>186</v>
      </c>
      <c r="H1" s="570"/>
      <c r="I1" s="570"/>
      <c r="J1" s="570"/>
      <c r="K1" s="570"/>
      <c r="L1" s="570"/>
    </row>
    <row r="2" spans="1:12" x14ac:dyDescent="0.25">
      <c r="A2" t="s">
        <v>155</v>
      </c>
      <c r="B2">
        <f>SUM(B4:B69)</f>
        <v>2</v>
      </c>
      <c r="C2">
        <f>SUM(C4:C69)</f>
        <v>1</v>
      </c>
      <c r="E2" t="s">
        <v>180</v>
      </c>
      <c r="G2" t="s">
        <v>155</v>
      </c>
      <c r="H2">
        <f>SUM(H4:H69)</f>
        <v>48</v>
      </c>
      <c r="I2">
        <f>SUM(I4:I69)</f>
        <v>0</v>
      </c>
      <c r="K2" t="s">
        <v>180</v>
      </c>
      <c r="L2">
        <f>F2</f>
        <v>0</v>
      </c>
    </row>
    <row r="3" spans="1:12" x14ac:dyDescent="0.25">
      <c r="A3" t="s">
        <v>109</v>
      </c>
      <c r="B3" t="s">
        <v>108</v>
      </c>
      <c r="C3" t="s">
        <v>107</v>
      </c>
      <c r="E3" t="s">
        <v>179</v>
      </c>
      <c r="F3" s="115"/>
      <c r="G3" t="s">
        <v>109</v>
      </c>
      <c r="H3" t="s">
        <v>108</v>
      </c>
      <c r="I3" t="s">
        <v>107</v>
      </c>
      <c r="K3" t="s">
        <v>179</v>
      </c>
      <c r="L3">
        <f>F3</f>
        <v>0</v>
      </c>
    </row>
    <row r="4" spans="1:12" x14ac:dyDescent="0.25">
      <c r="A4" s="116" t="s">
        <v>110</v>
      </c>
      <c r="B4">
        <v>0</v>
      </c>
      <c r="C4">
        <v>0</v>
      </c>
      <c r="E4" t="s">
        <v>178</v>
      </c>
      <c r="F4" s="115"/>
      <c r="G4" s="116" t="s">
        <v>110</v>
      </c>
      <c r="H4">
        <v>0</v>
      </c>
      <c r="I4">
        <v>0</v>
      </c>
      <c r="K4" t="s">
        <v>181</v>
      </c>
      <c r="L4" s="115"/>
    </row>
    <row r="5" spans="1:12" x14ac:dyDescent="0.25">
      <c r="A5" s="116" t="s">
        <v>111</v>
      </c>
      <c r="B5">
        <v>0</v>
      </c>
      <c r="C5">
        <v>0</v>
      </c>
      <c r="E5" t="s">
        <v>106</v>
      </c>
      <c r="G5" s="116" t="s">
        <v>111</v>
      </c>
      <c r="H5">
        <v>0</v>
      </c>
      <c r="I5">
        <v>0</v>
      </c>
      <c r="K5" t="s">
        <v>106</v>
      </c>
    </row>
    <row r="6" spans="1:12" x14ac:dyDescent="0.25">
      <c r="A6" s="116" t="s">
        <v>112</v>
      </c>
      <c r="B6">
        <v>0</v>
      </c>
      <c r="C6">
        <v>0</v>
      </c>
      <c r="E6" t="s">
        <v>105</v>
      </c>
      <c r="F6" s="117"/>
      <c r="G6" s="116" t="s">
        <v>112</v>
      </c>
      <c r="H6">
        <v>0</v>
      </c>
      <c r="I6">
        <v>0</v>
      </c>
      <c r="K6" t="s">
        <v>105</v>
      </c>
      <c r="L6" s="117"/>
    </row>
    <row r="7" spans="1:12" x14ac:dyDescent="0.25">
      <c r="A7" s="116" t="s">
        <v>113</v>
      </c>
      <c r="B7">
        <v>0</v>
      </c>
      <c r="C7">
        <v>0</v>
      </c>
      <c r="E7" t="s">
        <v>104</v>
      </c>
      <c r="F7" s="117"/>
      <c r="G7" s="116" t="s">
        <v>113</v>
      </c>
      <c r="H7">
        <v>0</v>
      </c>
      <c r="I7">
        <v>0</v>
      </c>
      <c r="K7" t="s">
        <v>104</v>
      </c>
      <c r="L7" s="117"/>
    </row>
    <row r="8" spans="1:12" x14ac:dyDescent="0.25">
      <c r="A8" s="116" t="s">
        <v>114</v>
      </c>
      <c r="B8">
        <v>0</v>
      </c>
      <c r="C8">
        <v>0</v>
      </c>
      <c r="G8" s="116" t="s">
        <v>114</v>
      </c>
      <c r="H8">
        <v>0</v>
      </c>
      <c r="I8">
        <v>0</v>
      </c>
    </row>
    <row r="9" spans="1:12" x14ac:dyDescent="0.25">
      <c r="A9" s="116" t="s">
        <v>115</v>
      </c>
      <c r="B9">
        <v>0</v>
      </c>
      <c r="C9">
        <v>0</v>
      </c>
      <c r="G9" s="116" t="s">
        <v>115</v>
      </c>
      <c r="H9">
        <v>0</v>
      </c>
      <c r="I9">
        <v>0</v>
      </c>
    </row>
    <row r="10" spans="1:12" x14ac:dyDescent="0.25">
      <c r="A10" s="116" t="s">
        <v>116</v>
      </c>
      <c r="B10">
        <v>0</v>
      </c>
      <c r="C10">
        <v>0</v>
      </c>
      <c r="G10" s="116" t="s">
        <v>116</v>
      </c>
      <c r="H10">
        <v>0</v>
      </c>
      <c r="I10">
        <v>0</v>
      </c>
    </row>
    <row r="11" spans="1:12" x14ac:dyDescent="0.25">
      <c r="A11" s="116" t="s">
        <v>117</v>
      </c>
      <c r="B11">
        <v>0</v>
      </c>
      <c r="C11">
        <v>0</v>
      </c>
      <c r="F11" s="117"/>
      <c r="G11" s="116" t="s">
        <v>117</v>
      </c>
      <c r="H11">
        <v>0</v>
      </c>
      <c r="I11">
        <v>0</v>
      </c>
      <c r="L11" s="117"/>
    </row>
    <row r="12" spans="1:12" x14ac:dyDescent="0.25">
      <c r="A12" s="116" t="s">
        <v>118</v>
      </c>
      <c r="B12">
        <v>0</v>
      </c>
      <c r="C12">
        <v>0</v>
      </c>
      <c r="F12" s="117"/>
      <c r="G12" s="116" t="s">
        <v>118</v>
      </c>
      <c r="H12">
        <v>0</v>
      </c>
      <c r="I12">
        <v>0</v>
      </c>
      <c r="L12" s="117"/>
    </row>
    <row r="13" spans="1:12" x14ac:dyDescent="0.25">
      <c r="A13" s="116" t="s">
        <v>119</v>
      </c>
      <c r="B13">
        <v>0</v>
      </c>
      <c r="C13">
        <v>0</v>
      </c>
      <c r="G13" s="116" t="s">
        <v>119</v>
      </c>
      <c r="H13">
        <v>0</v>
      </c>
      <c r="I13">
        <v>0</v>
      </c>
    </row>
    <row r="14" spans="1:12" x14ac:dyDescent="0.25">
      <c r="A14" s="116" t="s">
        <v>120</v>
      </c>
      <c r="B14">
        <v>0</v>
      </c>
      <c r="C14">
        <v>0</v>
      </c>
      <c r="G14" s="116" t="s">
        <v>120</v>
      </c>
      <c r="H14">
        <v>0</v>
      </c>
      <c r="I14">
        <v>0</v>
      </c>
    </row>
    <row r="15" spans="1:12" x14ac:dyDescent="0.25">
      <c r="A15" s="116" t="s">
        <v>121</v>
      </c>
      <c r="B15">
        <v>0</v>
      </c>
      <c r="C15">
        <v>0</v>
      </c>
      <c r="G15" s="116" t="s">
        <v>121</v>
      </c>
      <c r="H15">
        <v>0</v>
      </c>
      <c r="I15">
        <v>0</v>
      </c>
    </row>
    <row r="16" spans="1:12" x14ac:dyDescent="0.25">
      <c r="A16" s="116" t="s">
        <v>122</v>
      </c>
      <c r="B16">
        <v>0</v>
      </c>
      <c r="C16">
        <v>0</v>
      </c>
      <c r="G16" s="116" t="s">
        <v>122</v>
      </c>
      <c r="H16">
        <v>0</v>
      </c>
      <c r="I16">
        <v>0</v>
      </c>
    </row>
    <row r="17" spans="1:9" x14ac:dyDescent="0.25">
      <c r="A17" s="116" t="s">
        <v>123</v>
      </c>
      <c r="B17">
        <v>0</v>
      </c>
      <c r="C17">
        <v>0</v>
      </c>
      <c r="G17" s="116" t="s">
        <v>123</v>
      </c>
      <c r="H17">
        <v>0</v>
      </c>
      <c r="I17">
        <v>0</v>
      </c>
    </row>
    <row r="18" spans="1:9" x14ac:dyDescent="0.25">
      <c r="A18" s="116" t="s">
        <v>124</v>
      </c>
      <c r="B18">
        <v>0</v>
      </c>
      <c r="C18">
        <v>0</v>
      </c>
      <c r="G18" s="116" t="s">
        <v>124</v>
      </c>
      <c r="H18">
        <v>0</v>
      </c>
      <c r="I18">
        <v>0</v>
      </c>
    </row>
    <row r="19" spans="1:9" x14ac:dyDescent="0.25">
      <c r="A19" s="116" t="s">
        <v>125</v>
      </c>
      <c r="B19">
        <v>0</v>
      </c>
      <c r="C19">
        <v>0</v>
      </c>
      <c r="G19" s="116" t="s">
        <v>125</v>
      </c>
      <c r="H19">
        <v>0</v>
      </c>
      <c r="I19">
        <v>0</v>
      </c>
    </row>
    <row r="20" spans="1:9" x14ac:dyDescent="0.25">
      <c r="A20" s="116" t="s">
        <v>126</v>
      </c>
      <c r="B20">
        <v>0</v>
      </c>
      <c r="C20">
        <v>0</v>
      </c>
      <c r="G20" s="116" t="s">
        <v>126</v>
      </c>
      <c r="H20">
        <v>0</v>
      </c>
      <c r="I20">
        <v>0</v>
      </c>
    </row>
    <row r="21" spans="1:9" x14ac:dyDescent="0.25">
      <c r="A21" s="116" t="s">
        <v>127</v>
      </c>
      <c r="B21">
        <v>0</v>
      </c>
      <c r="C21">
        <v>0</v>
      </c>
      <c r="G21" s="116" t="s">
        <v>127</v>
      </c>
      <c r="H21">
        <v>0</v>
      </c>
      <c r="I21">
        <v>0</v>
      </c>
    </row>
    <row r="22" spans="1:9" x14ac:dyDescent="0.25">
      <c r="A22" s="116" t="s">
        <v>128</v>
      </c>
      <c r="B22">
        <v>0</v>
      </c>
      <c r="C22">
        <v>0</v>
      </c>
      <c r="G22" s="116" t="s">
        <v>128</v>
      </c>
      <c r="H22">
        <v>0</v>
      </c>
      <c r="I22">
        <v>0</v>
      </c>
    </row>
    <row r="23" spans="1:9" x14ac:dyDescent="0.25">
      <c r="A23" s="116" t="s">
        <v>129</v>
      </c>
      <c r="B23">
        <v>0</v>
      </c>
      <c r="C23">
        <v>0</v>
      </c>
      <c r="G23" s="116" t="s">
        <v>129</v>
      </c>
      <c r="H23">
        <v>0</v>
      </c>
      <c r="I23">
        <v>0</v>
      </c>
    </row>
    <row r="24" spans="1:9" x14ac:dyDescent="0.25">
      <c r="A24" s="116" t="s">
        <v>130</v>
      </c>
      <c r="B24">
        <v>0</v>
      </c>
      <c r="C24">
        <v>0</v>
      </c>
      <c r="G24" s="116" t="s">
        <v>130</v>
      </c>
      <c r="H24">
        <v>0</v>
      </c>
      <c r="I24">
        <v>0</v>
      </c>
    </row>
    <row r="25" spans="1:9" x14ac:dyDescent="0.25">
      <c r="A25" s="116" t="s">
        <v>131</v>
      </c>
      <c r="B25">
        <v>0</v>
      </c>
      <c r="C25">
        <v>0</v>
      </c>
      <c r="G25" s="116" t="s">
        <v>131</v>
      </c>
      <c r="H25">
        <v>0</v>
      </c>
      <c r="I25">
        <v>0</v>
      </c>
    </row>
    <row r="26" spans="1:9" x14ac:dyDescent="0.25">
      <c r="A26" s="116" t="s">
        <v>132</v>
      </c>
      <c r="B26">
        <v>0</v>
      </c>
      <c r="C26">
        <v>0</v>
      </c>
      <c r="G26" s="116" t="s">
        <v>132</v>
      </c>
      <c r="H26">
        <v>0</v>
      </c>
      <c r="I26">
        <v>0</v>
      </c>
    </row>
    <row r="27" spans="1:9" x14ac:dyDescent="0.25">
      <c r="A27" s="116" t="s">
        <v>133</v>
      </c>
      <c r="B27">
        <v>0</v>
      </c>
      <c r="C27">
        <v>0</v>
      </c>
      <c r="G27" s="116" t="s">
        <v>133</v>
      </c>
      <c r="H27">
        <v>0</v>
      </c>
      <c r="I27">
        <v>0</v>
      </c>
    </row>
    <row r="28" spans="1:9" x14ac:dyDescent="0.25">
      <c r="A28" s="116" t="s">
        <v>134</v>
      </c>
      <c r="B28">
        <v>0</v>
      </c>
      <c r="C28">
        <v>0</v>
      </c>
      <c r="G28" s="116" t="s">
        <v>134</v>
      </c>
      <c r="H28">
        <v>0</v>
      </c>
      <c r="I28">
        <v>0</v>
      </c>
    </row>
    <row r="29" spans="1:9" x14ac:dyDescent="0.25">
      <c r="A29" s="116" t="s">
        <v>135</v>
      </c>
      <c r="B29">
        <v>0</v>
      </c>
      <c r="C29">
        <v>0</v>
      </c>
      <c r="G29" s="116" t="s">
        <v>135</v>
      </c>
      <c r="H29">
        <v>0</v>
      </c>
      <c r="I29">
        <v>0</v>
      </c>
    </row>
    <row r="30" spans="1:9" x14ac:dyDescent="0.25">
      <c r="A30" s="116" t="s">
        <v>136</v>
      </c>
      <c r="B30">
        <v>0</v>
      </c>
      <c r="C30">
        <v>0</v>
      </c>
      <c r="G30" s="116" t="s">
        <v>136</v>
      </c>
      <c r="H30">
        <v>12</v>
      </c>
      <c r="I30">
        <v>0</v>
      </c>
    </row>
    <row r="31" spans="1:9" x14ac:dyDescent="0.25">
      <c r="A31" s="116" t="s">
        <v>137</v>
      </c>
      <c r="B31">
        <v>0</v>
      </c>
      <c r="C31">
        <v>0</v>
      </c>
      <c r="G31" s="116" t="s">
        <v>137</v>
      </c>
      <c r="H31">
        <v>12</v>
      </c>
      <c r="I31">
        <v>0</v>
      </c>
    </row>
    <row r="32" spans="1:9" x14ac:dyDescent="0.25">
      <c r="A32" s="116" t="s">
        <v>138</v>
      </c>
      <c r="B32">
        <v>0</v>
      </c>
      <c r="C32">
        <v>0</v>
      </c>
      <c r="G32" s="116" t="s">
        <v>138</v>
      </c>
      <c r="H32">
        <v>12</v>
      </c>
      <c r="I32">
        <v>0</v>
      </c>
    </row>
    <row r="33" spans="1:9" x14ac:dyDescent="0.25">
      <c r="A33" s="116" t="s">
        <v>139</v>
      </c>
      <c r="B33">
        <v>0</v>
      </c>
      <c r="C33">
        <v>0</v>
      </c>
      <c r="G33" s="116" t="s">
        <v>139</v>
      </c>
      <c r="H33">
        <v>12</v>
      </c>
      <c r="I33">
        <v>0</v>
      </c>
    </row>
    <row r="34" spans="1:9" x14ac:dyDescent="0.25">
      <c r="A34" s="116" t="s">
        <v>140</v>
      </c>
      <c r="B34">
        <v>0</v>
      </c>
      <c r="C34">
        <v>0</v>
      </c>
      <c r="G34" s="116" t="s">
        <v>140</v>
      </c>
      <c r="H34">
        <v>0</v>
      </c>
      <c r="I34">
        <v>0</v>
      </c>
    </row>
    <row r="35" spans="1:9" x14ac:dyDescent="0.25">
      <c r="A35" s="116" t="s">
        <v>141</v>
      </c>
      <c r="B35">
        <v>0</v>
      </c>
      <c r="C35">
        <v>0</v>
      </c>
      <c r="G35" s="116" t="s">
        <v>141</v>
      </c>
      <c r="H35">
        <v>0</v>
      </c>
      <c r="I35">
        <v>0</v>
      </c>
    </row>
    <row r="36" spans="1:9" x14ac:dyDescent="0.25">
      <c r="A36" s="116" t="s">
        <v>142</v>
      </c>
      <c r="B36">
        <v>0</v>
      </c>
      <c r="C36">
        <v>0</v>
      </c>
      <c r="G36" s="116" t="s">
        <v>142</v>
      </c>
      <c r="H36">
        <v>0</v>
      </c>
      <c r="I36">
        <v>0</v>
      </c>
    </row>
    <row r="37" spans="1:9" x14ac:dyDescent="0.25">
      <c r="A37" s="116" t="s">
        <v>143</v>
      </c>
      <c r="B37">
        <v>0</v>
      </c>
      <c r="C37">
        <v>0</v>
      </c>
      <c r="G37" s="116" t="s">
        <v>143</v>
      </c>
      <c r="H37">
        <v>0</v>
      </c>
      <c r="I37">
        <v>0</v>
      </c>
    </row>
    <row r="38" spans="1:9" x14ac:dyDescent="0.25">
      <c r="A38" s="116" t="s">
        <v>144</v>
      </c>
      <c r="B38">
        <v>0</v>
      </c>
      <c r="C38">
        <v>0</v>
      </c>
      <c r="G38" s="116" t="s">
        <v>144</v>
      </c>
      <c r="H38">
        <v>0</v>
      </c>
      <c r="I38">
        <v>0</v>
      </c>
    </row>
    <row r="39" spans="1:9" x14ac:dyDescent="0.25">
      <c r="A39" s="116" t="s">
        <v>145</v>
      </c>
      <c r="B39">
        <v>0</v>
      </c>
      <c r="C39">
        <v>0</v>
      </c>
      <c r="G39" s="116" t="s">
        <v>145</v>
      </c>
      <c r="H39">
        <v>0</v>
      </c>
      <c r="I39">
        <v>0</v>
      </c>
    </row>
    <row r="40" spans="1:9" x14ac:dyDescent="0.25">
      <c r="A40" s="116" t="s">
        <v>146</v>
      </c>
      <c r="B40">
        <v>0</v>
      </c>
      <c r="C40">
        <v>0</v>
      </c>
      <c r="G40" s="116" t="s">
        <v>146</v>
      </c>
      <c r="H40">
        <v>0</v>
      </c>
      <c r="I40">
        <v>0</v>
      </c>
    </row>
    <row r="41" spans="1:9" x14ac:dyDescent="0.25">
      <c r="A41" s="116" t="s">
        <v>147</v>
      </c>
      <c r="B41">
        <v>0</v>
      </c>
      <c r="C41">
        <v>0</v>
      </c>
      <c r="G41" s="116" t="s">
        <v>147</v>
      </c>
      <c r="H41">
        <v>0</v>
      </c>
      <c r="I41">
        <v>0</v>
      </c>
    </row>
    <row r="42" spans="1:9" x14ac:dyDescent="0.25">
      <c r="A42" s="116" t="s">
        <v>148</v>
      </c>
      <c r="B42">
        <v>0</v>
      </c>
      <c r="C42">
        <v>0</v>
      </c>
      <c r="G42" s="116" t="s">
        <v>148</v>
      </c>
      <c r="H42">
        <v>0</v>
      </c>
      <c r="I42">
        <v>0</v>
      </c>
    </row>
    <row r="43" spans="1:9" x14ac:dyDescent="0.25">
      <c r="A43" s="116" t="s">
        <v>149</v>
      </c>
      <c r="B43">
        <v>0</v>
      </c>
      <c r="C43">
        <v>0</v>
      </c>
      <c r="G43" s="116" t="s">
        <v>149</v>
      </c>
      <c r="H43">
        <v>0</v>
      </c>
      <c r="I43">
        <v>0</v>
      </c>
    </row>
    <row r="44" spans="1:9" x14ac:dyDescent="0.25">
      <c r="A44" s="116" t="s">
        <v>150</v>
      </c>
      <c r="B44">
        <v>0</v>
      </c>
      <c r="C44">
        <v>0</v>
      </c>
      <c r="G44" s="116" t="s">
        <v>150</v>
      </c>
      <c r="H44">
        <v>0</v>
      </c>
      <c r="I44">
        <v>0</v>
      </c>
    </row>
    <row r="45" spans="1:9" x14ac:dyDescent="0.25">
      <c r="A45" s="116" t="s">
        <v>151</v>
      </c>
      <c r="B45">
        <v>0</v>
      </c>
      <c r="C45">
        <v>0</v>
      </c>
      <c r="G45" s="116" t="s">
        <v>151</v>
      </c>
      <c r="H45">
        <v>0</v>
      </c>
      <c r="I45">
        <v>0</v>
      </c>
    </row>
    <row r="46" spans="1:9" x14ac:dyDescent="0.25">
      <c r="A46" s="116" t="s">
        <v>152</v>
      </c>
      <c r="B46">
        <v>0</v>
      </c>
      <c r="C46">
        <v>0</v>
      </c>
      <c r="G46" s="116" t="s">
        <v>152</v>
      </c>
      <c r="H46">
        <v>0</v>
      </c>
      <c r="I46">
        <v>0</v>
      </c>
    </row>
    <row r="47" spans="1:9" x14ac:dyDescent="0.25">
      <c r="A47" s="116" t="s">
        <v>153</v>
      </c>
      <c r="B47">
        <v>0</v>
      </c>
      <c r="C47">
        <v>0</v>
      </c>
      <c r="G47" s="116" t="s">
        <v>153</v>
      </c>
      <c r="H47">
        <v>0</v>
      </c>
      <c r="I47">
        <v>0</v>
      </c>
    </row>
    <row r="48" spans="1:9" x14ac:dyDescent="0.25">
      <c r="A48" s="116" t="s">
        <v>154</v>
      </c>
      <c r="B48">
        <v>0</v>
      </c>
      <c r="C48">
        <v>0</v>
      </c>
      <c r="G48" s="116" t="s">
        <v>154</v>
      </c>
      <c r="H48">
        <v>0</v>
      </c>
      <c r="I48">
        <v>0</v>
      </c>
    </row>
    <row r="49" spans="1:9" x14ac:dyDescent="0.25">
      <c r="A49" s="116" t="s">
        <v>156</v>
      </c>
      <c r="B49">
        <v>0</v>
      </c>
      <c r="C49">
        <v>0</v>
      </c>
      <c r="G49" s="116" t="s">
        <v>156</v>
      </c>
      <c r="H49">
        <v>0</v>
      </c>
      <c r="I49">
        <v>0</v>
      </c>
    </row>
    <row r="50" spans="1:9" x14ac:dyDescent="0.25">
      <c r="A50" s="116" t="s">
        <v>157</v>
      </c>
      <c r="B50">
        <v>2</v>
      </c>
      <c r="C50">
        <v>1</v>
      </c>
      <c r="G50" s="116" t="s">
        <v>157</v>
      </c>
      <c r="H50">
        <v>0</v>
      </c>
      <c r="I50">
        <v>0</v>
      </c>
    </row>
    <row r="51" spans="1:9" x14ac:dyDescent="0.25">
      <c r="A51" s="116" t="s">
        <v>158</v>
      </c>
      <c r="B51">
        <v>0</v>
      </c>
      <c r="C51">
        <v>0</v>
      </c>
      <c r="G51" s="116" t="s">
        <v>158</v>
      </c>
      <c r="H51">
        <v>0</v>
      </c>
      <c r="I51">
        <v>0</v>
      </c>
    </row>
    <row r="52" spans="1:9" x14ac:dyDescent="0.25">
      <c r="A52" s="116" t="s">
        <v>159</v>
      </c>
      <c r="B52">
        <v>0</v>
      </c>
      <c r="C52">
        <v>0</v>
      </c>
      <c r="G52" s="116" t="s">
        <v>159</v>
      </c>
      <c r="H52">
        <v>0</v>
      </c>
      <c r="I52">
        <v>0</v>
      </c>
    </row>
    <row r="53" spans="1:9" x14ac:dyDescent="0.25">
      <c r="A53" s="116" t="s">
        <v>160</v>
      </c>
      <c r="B53">
        <v>0</v>
      </c>
      <c r="C53">
        <v>0</v>
      </c>
      <c r="G53" s="116" t="s">
        <v>160</v>
      </c>
      <c r="H53">
        <v>0</v>
      </c>
      <c r="I53">
        <v>0</v>
      </c>
    </row>
    <row r="54" spans="1:9" x14ac:dyDescent="0.25">
      <c r="A54" s="116" t="s">
        <v>161</v>
      </c>
      <c r="B54">
        <v>0</v>
      </c>
      <c r="C54">
        <v>0</v>
      </c>
      <c r="G54" s="116" t="s">
        <v>161</v>
      </c>
      <c r="H54">
        <v>0</v>
      </c>
      <c r="I54">
        <v>0</v>
      </c>
    </row>
    <row r="55" spans="1:9" x14ac:dyDescent="0.25">
      <c r="A55" s="116" t="s">
        <v>162</v>
      </c>
      <c r="B55">
        <v>0</v>
      </c>
      <c r="C55">
        <v>0</v>
      </c>
      <c r="G55" s="116" t="s">
        <v>162</v>
      </c>
      <c r="H55">
        <v>0</v>
      </c>
      <c r="I55">
        <v>0</v>
      </c>
    </row>
    <row r="56" spans="1:9" x14ac:dyDescent="0.25">
      <c r="A56" s="116" t="s">
        <v>163</v>
      </c>
      <c r="B56">
        <v>0</v>
      </c>
      <c r="C56">
        <v>0</v>
      </c>
      <c r="G56" s="116" t="s">
        <v>163</v>
      </c>
      <c r="H56">
        <v>0</v>
      </c>
      <c r="I56">
        <v>0</v>
      </c>
    </row>
    <row r="57" spans="1:9" x14ac:dyDescent="0.25">
      <c r="A57" s="116" t="s">
        <v>164</v>
      </c>
      <c r="B57">
        <v>0</v>
      </c>
      <c r="C57">
        <v>0</v>
      </c>
      <c r="G57" s="116" t="s">
        <v>164</v>
      </c>
      <c r="H57">
        <v>0</v>
      </c>
      <c r="I57">
        <v>0</v>
      </c>
    </row>
    <row r="58" spans="1:9" x14ac:dyDescent="0.25">
      <c r="A58" s="116" t="s">
        <v>165</v>
      </c>
      <c r="B58">
        <v>0</v>
      </c>
      <c r="C58">
        <v>0</v>
      </c>
      <c r="G58" s="116" t="s">
        <v>165</v>
      </c>
      <c r="H58">
        <v>0</v>
      </c>
      <c r="I58">
        <v>0</v>
      </c>
    </row>
    <row r="59" spans="1:9" x14ac:dyDescent="0.25">
      <c r="A59" s="116" t="s">
        <v>166</v>
      </c>
      <c r="B59">
        <v>0</v>
      </c>
      <c r="C59">
        <v>0</v>
      </c>
      <c r="G59" s="116" t="s">
        <v>166</v>
      </c>
      <c r="H59">
        <v>0</v>
      </c>
      <c r="I59">
        <v>0</v>
      </c>
    </row>
    <row r="60" spans="1:9" x14ac:dyDescent="0.25">
      <c r="A60" s="116" t="s">
        <v>167</v>
      </c>
      <c r="B60">
        <v>0</v>
      </c>
      <c r="C60">
        <v>0</v>
      </c>
      <c r="G60" s="116" t="s">
        <v>167</v>
      </c>
      <c r="H60">
        <v>0</v>
      </c>
      <c r="I60">
        <v>0</v>
      </c>
    </row>
    <row r="61" spans="1:9" x14ac:dyDescent="0.25">
      <c r="A61" s="116" t="s">
        <v>168</v>
      </c>
      <c r="B61">
        <v>0</v>
      </c>
      <c r="C61">
        <v>0</v>
      </c>
      <c r="G61" s="116" t="s">
        <v>168</v>
      </c>
      <c r="H61">
        <v>0</v>
      </c>
      <c r="I61">
        <v>0</v>
      </c>
    </row>
    <row r="62" spans="1:9" x14ac:dyDescent="0.25">
      <c r="A62" s="116" t="s">
        <v>169</v>
      </c>
      <c r="B62">
        <v>0</v>
      </c>
      <c r="C62">
        <v>0</v>
      </c>
      <c r="G62" s="116" t="s">
        <v>169</v>
      </c>
      <c r="H62">
        <v>0</v>
      </c>
      <c r="I62">
        <v>0</v>
      </c>
    </row>
    <row r="63" spans="1:9" x14ac:dyDescent="0.25">
      <c r="A63" s="116" t="s">
        <v>170</v>
      </c>
      <c r="B63">
        <v>0</v>
      </c>
      <c r="C63">
        <v>0</v>
      </c>
      <c r="G63" s="116" t="s">
        <v>170</v>
      </c>
      <c r="H63">
        <v>0</v>
      </c>
      <c r="I63">
        <v>0</v>
      </c>
    </row>
    <row r="64" spans="1:9" x14ac:dyDescent="0.25">
      <c r="A64" s="116" t="s">
        <v>171</v>
      </c>
      <c r="B64">
        <v>0</v>
      </c>
      <c r="C64">
        <v>0</v>
      </c>
      <c r="G64" s="116" t="s">
        <v>171</v>
      </c>
      <c r="H64">
        <v>0</v>
      </c>
      <c r="I64">
        <v>0</v>
      </c>
    </row>
    <row r="65" spans="1:9" x14ac:dyDescent="0.25">
      <c r="A65" s="116" t="s">
        <v>172</v>
      </c>
      <c r="B65">
        <v>0</v>
      </c>
      <c r="C65">
        <v>0</v>
      </c>
      <c r="G65" s="116" t="s">
        <v>172</v>
      </c>
      <c r="H65">
        <v>0</v>
      </c>
      <c r="I65">
        <v>0</v>
      </c>
    </row>
    <row r="66" spans="1:9" x14ac:dyDescent="0.25">
      <c r="A66" s="116" t="s">
        <v>173</v>
      </c>
      <c r="B66">
        <v>0</v>
      </c>
      <c r="C66">
        <v>0</v>
      </c>
      <c r="G66" s="116" t="s">
        <v>173</v>
      </c>
      <c r="H66">
        <v>0</v>
      </c>
      <c r="I66">
        <v>0</v>
      </c>
    </row>
    <row r="67" spans="1:9" x14ac:dyDescent="0.25">
      <c r="A67" s="116" t="s">
        <v>174</v>
      </c>
      <c r="B67">
        <v>0</v>
      </c>
      <c r="C67">
        <v>0</v>
      </c>
      <c r="G67" s="116" t="s">
        <v>174</v>
      </c>
      <c r="H67">
        <v>0</v>
      </c>
      <c r="I67">
        <v>0</v>
      </c>
    </row>
    <row r="68" spans="1:9" x14ac:dyDescent="0.25">
      <c r="A68" s="116" t="s">
        <v>175</v>
      </c>
      <c r="B68">
        <v>0</v>
      </c>
      <c r="C68">
        <v>0</v>
      </c>
      <c r="G68" s="116" t="s">
        <v>175</v>
      </c>
      <c r="H68">
        <v>0</v>
      </c>
      <c r="I68">
        <v>0</v>
      </c>
    </row>
    <row r="69" spans="1:9" x14ac:dyDescent="0.25">
      <c r="A69" s="116" t="s">
        <v>176</v>
      </c>
      <c r="B69">
        <v>0</v>
      </c>
      <c r="C69">
        <v>0</v>
      </c>
      <c r="G69" s="116" t="s">
        <v>176</v>
      </c>
      <c r="H69">
        <v>0</v>
      </c>
      <c r="I69">
        <v>0</v>
      </c>
    </row>
  </sheetData>
  <mergeCells count="2">
    <mergeCell ref="A1:F1"/>
    <mergeCell ref="G1:L1"/>
  </mergeCells>
  <phoneticPr fontId="14" type="noConversion"/>
  <pageMargins left="0.7" right="0.7" top="0.75" bottom="0.75" header="0.3" footer="0.3"/>
  <pageSetup scale="9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7800-498C-4DE2-B63A-5EAB0A37E6A5}">
  <sheetPr>
    <pageSetUpPr fitToPage="1"/>
  </sheetPr>
  <dimension ref="A1:P43"/>
  <sheetViews>
    <sheetView zoomScaleNormal="100" workbookViewId="0">
      <selection activeCell="B15" sqref="B15"/>
    </sheetView>
  </sheetViews>
  <sheetFormatPr defaultColWidth="9.140625" defaultRowHeight="13.5" x14ac:dyDescent="0.25"/>
  <cols>
    <col min="1" max="1" width="10.42578125" style="1" bestFit="1" customWidth="1"/>
    <col min="2" max="2" width="12" style="1" customWidth="1"/>
    <col min="3" max="3" width="9.42578125" style="1" customWidth="1"/>
    <col min="4" max="4" width="10.5703125" style="1" customWidth="1"/>
    <col min="5" max="5" width="10.7109375" style="1" customWidth="1"/>
    <col min="6" max="6" width="9.140625" style="1"/>
    <col min="7" max="7" width="10.7109375" style="1" customWidth="1"/>
    <col min="8" max="8" width="15.5703125" style="1" customWidth="1"/>
    <col min="9" max="9" width="10" style="1" customWidth="1"/>
    <col min="10" max="10" width="11.28515625" style="1" customWidth="1"/>
    <col min="11" max="11" width="6.85546875" style="1" bestFit="1" customWidth="1"/>
    <col min="12" max="12" width="13" style="1" bestFit="1" customWidth="1"/>
    <col min="13" max="13" width="12.42578125" style="1" customWidth="1"/>
    <col min="14" max="16384" width="9.140625" style="1"/>
  </cols>
  <sheetData>
    <row r="1" spans="1:13" ht="15" customHeight="1" x14ac:dyDescent="0.25">
      <c r="A1" s="531" t="s">
        <v>101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</row>
    <row r="2" spans="1:13" ht="15" customHeight="1" x14ac:dyDescent="0.25">
      <c r="A2" s="546" t="s">
        <v>1</v>
      </c>
      <c r="B2" s="546"/>
      <c r="C2" s="546"/>
      <c r="D2" s="548" t="s">
        <v>209</v>
      </c>
      <c r="E2" s="548"/>
      <c r="F2" s="548"/>
      <c r="I2" s="1" t="s">
        <v>0</v>
      </c>
      <c r="J2" s="543" t="s">
        <v>212</v>
      </c>
      <c r="K2" s="543"/>
    </row>
    <row r="3" spans="1:13" ht="15" customHeight="1" x14ac:dyDescent="0.25">
      <c r="A3" s="546" t="s">
        <v>6</v>
      </c>
      <c r="B3" s="546"/>
      <c r="C3" s="546"/>
      <c r="D3" s="227">
        <v>21088</v>
      </c>
    </row>
    <row r="4" spans="1:13" ht="15" customHeight="1" x14ac:dyDescent="0.25">
      <c r="A4" s="546" t="s">
        <v>2</v>
      </c>
      <c r="B4" s="546"/>
      <c r="C4" s="546"/>
      <c r="D4" s="20" t="str">
        <f>DATEDIF(D3,D5,"y")&amp;"/"&amp;(DATEDIF(D3,D5, "m") - (DATEDIF(D3,D5, "y") * 12))</f>
        <v>66/4</v>
      </c>
    </row>
    <row r="5" spans="1:13" ht="15" customHeight="1" x14ac:dyDescent="0.25">
      <c r="A5" s="546" t="s">
        <v>7</v>
      </c>
      <c r="B5" s="546"/>
      <c r="C5" s="546"/>
      <c r="D5" s="227">
        <v>45323</v>
      </c>
    </row>
    <row r="6" spans="1:13" ht="15" customHeight="1" x14ac:dyDescent="0.25">
      <c r="A6" s="546" t="s">
        <v>3</v>
      </c>
      <c r="B6" s="546"/>
      <c r="C6" s="546"/>
      <c r="D6" s="543" t="s">
        <v>210</v>
      </c>
      <c r="E6" s="543"/>
      <c r="F6" s="543"/>
      <c r="H6" s="546" t="s">
        <v>34</v>
      </c>
      <c r="I6" s="546"/>
      <c r="J6" s="546"/>
      <c r="K6" s="12">
        <f>IF(D7=0,0,IF(AND(D3-D7&lt;0,(DATEDIF(D3,D5,"m")-(DATEDIF(D3,D5,"y")*12))-(DATEDIF(D7,D5,"m")-(DATEDIF(D7,D5,"y")*12))=0),DATEDIF(D3,D5,"y")-DATEDIF(D7,D5,"y"),IF(AND(D3-D7&gt;0,(DATEDIF(D7,D5,"m")-(DATEDIF(D7,D5,"y")*12))-(DATEDIF(D3,D5,"m")-(DATEDIF(D3,D5,"y")*12))=0),DATEDIF(D7,D5,"y")-DATEDIF(D3,D5,"y"),IF(D3-D7&lt;0,ROUNDDOWN(YEARFRAC(D3,D7),0),IF(D3-D7&gt;0,ROUNDDOWN(YEARFRAC(D7,D3),0),0)))))</f>
        <v>3</v>
      </c>
      <c r="L6" s="1" t="str">
        <f>IF(D7=0,"N/A",IF(K6=0,"No Difference.",IF(D3-D7&lt;0,"Year(s) Younger.", IF(D3-D7&gt;0, "Year(s) Older.","No Difference."))))</f>
        <v>Year(s) Older.</v>
      </c>
    </row>
    <row r="7" spans="1:13" ht="15" customHeight="1" x14ac:dyDescent="0.25">
      <c r="A7" s="546" t="s">
        <v>5</v>
      </c>
      <c r="B7" s="546"/>
      <c r="C7" s="546"/>
      <c r="D7" s="227">
        <v>19954</v>
      </c>
    </row>
    <row r="8" spans="1:13" ht="15.75" customHeight="1" thickBot="1" x14ac:dyDescent="0.3">
      <c r="A8" s="575" t="s">
        <v>4</v>
      </c>
      <c r="B8" s="575"/>
      <c r="C8" s="575"/>
      <c r="D8" s="20" t="str">
        <f>DATEDIF(D7,D5,"y")&amp;"/"&amp;(DATEDIF(D7,D5, "m") - (DATEDIF(D7,D5, "y") * 12))</f>
        <v>69/5</v>
      </c>
      <c r="E8" s="19"/>
      <c r="F8" s="19"/>
      <c r="G8" s="19"/>
      <c r="H8" s="19"/>
      <c r="I8" s="19"/>
    </row>
    <row r="9" spans="1:13" ht="15.75" customHeight="1" thickBot="1" x14ac:dyDescent="0.3">
      <c r="A9" s="561" t="s">
        <v>8</v>
      </c>
      <c r="B9" s="562"/>
      <c r="C9" s="562"/>
      <c r="D9" s="563"/>
      <c r="E9" s="541" t="s">
        <v>14</v>
      </c>
      <c r="F9" s="541"/>
      <c r="G9" s="541"/>
      <c r="H9" s="541"/>
      <c r="I9" s="542"/>
      <c r="J9" s="540" t="s">
        <v>22</v>
      </c>
      <c r="K9" s="541"/>
      <c r="L9" s="541"/>
      <c r="M9" s="542"/>
    </row>
    <row r="10" spans="1:13" ht="14.25" thickBot="1" x14ac:dyDescent="0.3">
      <c r="A10" s="27" t="s">
        <v>36</v>
      </c>
      <c r="B10" s="28" t="s">
        <v>35</v>
      </c>
      <c r="C10" s="28" t="s">
        <v>9</v>
      </c>
      <c r="D10" s="29" t="s">
        <v>10</v>
      </c>
      <c r="E10" s="1" t="s">
        <v>52</v>
      </c>
      <c r="I10" s="21">
        <f>B40</f>
        <v>44.379999999999995</v>
      </c>
      <c r="J10" s="11" t="s">
        <v>23</v>
      </c>
      <c r="K10" s="10" t="s">
        <v>24</v>
      </c>
      <c r="L10" s="10" t="s">
        <v>26</v>
      </c>
      <c r="M10" s="15" t="s">
        <v>27</v>
      </c>
    </row>
    <row r="11" spans="1:13" x14ac:dyDescent="0.25">
      <c r="A11" s="259"/>
      <c r="B11" s="261"/>
      <c r="C11" s="229"/>
      <c r="D11" s="5">
        <f t="shared" ref="D11:D17" si="0">(A11+B11)*C11</f>
        <v>0</v>
      </c>
      <c r="E11" s="1" t="s">
        <v>51</v>
      </c>
      <c r="I11" s="21">
        <f>SUM('Pro-Rata Worksheet'!J5)</f>
        <v>11.65</v>
      </c>
      <c r="J11" s="16">
        <v>0.5</v>
      </c>
      <c r="K11" s="4">
        <f>IF(COUNTIF(L6,"*Younger*"),100%-8%-(K6*0.4%),IF(100%-8%+(K6*0.4%)&gt;100%,100%,100%-8%+(K6*0.4%)))</f>
        <v>0.93200000000000005</v>
      </c>
      <c r="L11" s="3">
        <f>(I15+I18+I21)*K11</f>
        <v>19588.015102152</v>
      </c>
      <c r="M11" s="7">
        <f>L11*J11</f>
        <v>9794.0075510759998</v>
      </c>
    </row>
    <row r="12" spans="1:13" x14ac:dyDescent="0.25">
      <c r="A12" s="259"/>
      <c r="B12" s="261"/>
      <c r="C12" s="229"/>
      <c r="D12" s="5">
        <f t="shared" si="0"/>
        <v>0</v>
      </c>
      <c r="E12" s="1" t="s">
        <v>53</v>
      </c>
      <c r="I12" s="4">
        <f>ROUNDDOWN(I10/I11,4)</f>
        <v>3.8094000000000001</v>
      </c>
      <c r="J12" s="6" t="s">
        <v>25</v>
      </c>
      <c r="K12" s="4">
        <f>IF(COUNTIF(L6,"*Younger*"),100%-8%-(K6*0.4%),IF(100%-8%+(K6*0.4%)&gt;100%,100%,100%-8%+(K6*0.4%)))</f>
        <v>0.93200000000000005</v>
      </c>
      <c r="L12" s="3">
        <f>(I15+I18)*K12</f>
        <v>13313.995014432001</v>
      </c>
      <c r="M12" s="7">
        <f>L12*J11</f>
        <v>6656.9975072160005</v>
      </c>
    </row>
    <row r="13" spans="1:13" x14ac:dyDescent="0.25">
      <c r="A13" s="259"/>
      <c r="B13" s="261"/>
      <c r="C13" s="229"/>
      <c r="D13" s="5">
        <f t="shared" si="0"/>
        <v>0</v>
      </c>
      <c r="E13" s="1" t="s">
        <v>54</v>
      </c>
      <c r="H13" s="21"/>
      <c r="I13" s="3">
        <f>D18*I12</f>
        <v>12223.564625999999</v>
      </c>
      <c r="J13" s="16">
        <v>0.75</v>
      </c>
      <c r="K13" s="4">
        <f>IF(COUNTIF(L6,"*Younger*"),100%-12%-(K6*0.4%),IF(100%-12%+(K6*0.4%)&gt;100%,100%,100%-12%+(K6*0.4%)))</f>
        <v>0.89200000000000002</v>
      </c>
      <c r="L13" s="3">
        <f>(I15+I18+I21)*K13</f>
        <v>18747.327758711999</v>
      </c>
      <c r="M13" s="7">
        <f>L13*J13</f>
        <v>14060.495819034</v>
      </c>
    </row>
    <row r="14" spans="1:13" x14ac:dyDescent="0.25">
      <c r="A14" s="259"/>
      <c r="B14" s="261">
        <f>SUM('Pro-Rata Worksheet'!B65:B69)</f>
        <v>0</v>
      </c>
      <c r="C14" s="31">
        <v>50</v>
      </c>
      <c r="D14" s="5">
        <f t="shared" si="0"/>
        <v>0</v>
      </c>
      <c r="E14" s="1" t="s">
        <v>16</v>
      </c>
      <c r="I14" s="4">
        <f>IF(DATEDIF(D3,D5,"m")&lt;=600,(DATEDIF(D3,D5,"m")-540)*0.1%+40%,IF(DATEDIF(D3,D5,"m")&lt;=660,(DATEDIF(D3,D5,"m")-600)*0.2%+46%,IF((DATEDIF(D3,D5,"m")-660)*0.5%+58%&gt;=100%,100%,(DATEDIF(D3,D5,"m")-660)*0.5%+58%)))</f>
        <v>1</v>
      </c>
      <c r="J14" s="6" t="s">
        <v>25</v>
      </c>
      <c r="K14" s="4">
        <f>IF(COUNTIF(L6,"*Younger*"),100%-12%-(K6*0.4%),IF(100%-12%+(K6*0.4%)&gt;100%,100%,100%-12%+(K6*0.4%)))</f>
        <v>0.89200000000000002</v>
      </c>
      <c r="L14" s="3">
        <f>(I15+I18)*K14</f>
        <v>12742.578919392001</v>
      </c>
      <c r="M14" s="7">
        <f>L14*J13</f>
        <v>9556.9341895440011</v>
      </c>
    </row>
    <row r="15" spans="1:13" x14ac:dyDescent="0.25">
      <c r="A15" s="259" cm="1">
        <f t="array" ref="A15">SUM('Pro-Rata Worksheet'!I35:I64-'Pro-Rata Worksheet'!B35:B64)</f>
        <v>0</v>
      </c>
      <c r="B15" s="261">
        <v>23.03</v>
      </c>
      <c r="C15" s="31">
        <v>118</v>
      </c>
      <c r="D15" s="5">
        <f t="shared" si="0"/>
        <v>2717.54</v>
      </c>
      <c r="E15" s="1" t="s">
        <v>55</v>
      </c>
      <c r="I15" s="3">
        <f>(I13*I14)</f>
        <v>12223.564625999999</v>
      </c>
      <c r="J15" s="16">
        <v>1</v>
      </c>
      <c r="K15" s="4">
        <f>IF(COUNTIF(L6,"*Younger*"),100%-15%-(K6*0.5%),IF(100%-15%+(K6*0.5%)&gt;100%,100%,100%-15%+(K6*0.5%)))</f>
        <v>0.86499999999999999</v>
      </c>
      <c r="L15" s="3">
        <f>(I15+I18+I21)*K15</f>
        <v>18179.863801889998</v>
      </c>
      <c r="M15" s="7">
        <f>L15*J15</f>
        <v>18179.863801889998</v>
      </c>
    </row>
    <row r="16" spans="1:13" ht="14.25" thickBot="1" x14ac:dyDescent="0.3">
      <c r="A16" s="259"/>
      <c r="B16" s="261"/>
      <c r="C16" s="31">
        <v>105</v>
      </c>
      <c r="D16" s="5">
        <f t="shared" si="0"/>
        <v>0</v>
      </c>
      <c r="E16" s="1" t="s">
        <v>59</v>
      </c>
      <c r="H16" s="21"/>
      <c r="I16" s="3">
        <f>D22*I12</f>
        <v>2061.8377500000001</v>
      </c>
      <c r="J16" s="18" t="s">
        <v>25</v>
      </c>
      <c r="K16" s="107">
        <f>IF(COUNTIF(L6,"*Younger*"),100%-15%-(K6*0.5%),IF(100%-15%+(K6*0.5%)&gt;100%,100%,100%-15%+(K6*0.5%)))</f>
        <v>0.86499999999999999</v>
      </c>
      <c r="L16" s="8">
        <f>(I15+I18)*K16</f>
        <v>12356.873055239999</v>
      </c>
      <c r="M16" s="9">
        <f>L16*J15</f>
        <v>12356.873055239999</v>
      </c>
    </row>
    <row r="17" spans="1:16" ht="14.25" thickBot="1" x14ac:dyDescent="0.3">
      <c r="A17" s="259" cm="1">
        <f t="array" ref="A17">SUM('Pro-Rata Worksheet'!I31:I34-'Pro-Rata Worksheet'!B31:B34)</f>
        <v>0</v>
      </c>
      <c r="B17" s="261">
        <v>3.93</v>
      </c>
      <c r="C17" s="31">
        <v>125</v>
      </c>
      <c r="D17" s="5">
        <f t="shared" si="0"/>
        <v>491.25</v>
      </c>
      <c r="E17" s="2" t="s">
        <v>16</v>
      </c>
      <c r="F17" s="2"/>
      <c r="I17" s="4">
        <f>IF(DATEDIF(D3,D5,"m")&lt;=600,(DATEDIF(D3,D5,"m")-540)*0.1%+22%,IF(DATEDIF(D3,D5,"m")&lt;=660,(DATEDIF(D3,D5,"m")-600)*0.2%+28%,IF((DATEDIF(D3,D5,"m")-660)*0.5%+40%&gt;=100%,100%,(DATEDIF(D3,D5,"m")-660)*0.5%+40%)))</f>
        <v>1</v>
      </c>
    </row>
    <row r="18" spans="1:16" ht="14.25" thickBot="1" x14ac:dyDescent="0.3">
      <c r="A18" s="24">
        <f>SUM(A11:A17)</f>
        <v>0</v>
      </c>
      <c r="B18" s="35">
        <f>SUM(B11:B17)</f>
        <v>26.96</v>
      </c>
      <c r="C18" s="23" t="s">
        <v>11</v>
      </c>
      <c r="D18" s="26">
        <f>SUM(D11:D17)</f>
        <v>3208.79</v>
      </c>
      <c r="E18" s="1" t="s">
        <v>56</v>
      </c>
      <c r="I18" s="3">
        <f>I16*I17</f>
        <v>2061.8377500000001</v>
      </c>
      <c r="J18" s="540" t="s">
        <v>28</v>
      </c>
      <c r="K18" s="541"/>
      <c r="L18" s="541"/>
      <c r="M18" s="542"/>
    </row>
    <row r="19" spans="1:16" ht="15.75" customHeight="1" thickBot="1" x14ac:dyDescent="0.3">
      <c r="A19" s="572" t="s">
        <v>12</v>
      </c>
      <c r="B19" s="573"/>
      <c r="C19" s="573"/>
      <c r="D19" s="574"/>
      <c r="E19" s="77" t="s">
        <v>57</v>
      </c>
      <c r="H19" s="21"/>
      <c r="I19" s="3">
        <f>SUM(D30+D39)*I12</f>
        <v>6731.781210000001</v>
      </c>
      <c r="J19" s="11" t="s">
        <v>23</v>
      </c>
      <c r="K19" s="10" t="s">
        <v>24</v>
      </c>
      <c r="L19" s="10" t="s">
        <v>26</v>
      </c>
      <c r="M19" s="15" t="s">
        <v>27</v>
      </c>
    </row>
    <row r="20" spans="1:16" x14ac:dyDescent="0.25">
      <c r="A20" s="259"/>
      <c r="B20" s="261"/>
      <c r="C20" s="3">
        <v>90</v>
      </c>
      <c r="D20" s="5">
        <f>(A20+B20)*C20</f>
        <v>0</v>
      </c>
      <c r="E20" s="1" t="s">
        <v>16</v>
      </c>
      <c r="I20" s="4">
        <f>IF(DATEDIF(D3,D5,"m")&lt;=600,(DATEDIF(D3,D5,"m")-540)*0.1%+22%,IF(DATEDIF(D3,D5,"m")&lt;=660,(DATEDIF(D3,D5,"m")-600)*0.2%+28%,IF((DATEDIF(D3,D5,"m")-660)*0.5%+40%&gt;=100%,100%,(DATEDIF(D3,D5,"m")-660)*0.5%+40%)))</f>
        <v>1</v>
      </c>
      <c r="J20" s="16">
        <v>0.5</v>
      </c>
      <c r="K20" s="4">
        <f>IF(COUNTIF(L6,"*Younger*"),100%-18%-(K6*0.4%),IF(100%-18%+(K6*0.4%)&gt;100%,100%,100%-18%+(K6*0.4%)))</f>
        <v>0.83200000000000007</v>
      </c>
      <c r="L20" s="3">
        <f>(I13+I16+I19)*K20</f>
        <v>17486.296743552</v>
      </c>
      <c r="M20" s="7">
        <f>L20*J20</f>
        <v>8743.1483717760002</v>
      </c>
    </row>
    <row r="21" spans="1:16" ht="14.25" thickBot="1" x14ac:dyDescent="0.3">
      <c r="A21" s="260"/>
      <c r="B21" s="262">
        <v>4.33</v>
      </c>
      <c r="C21" s="8">
        <v>125</v>
      </c>
      <c r="D21" s="85">
        <f>(A21+B21)*C21</f>
        <v>541.25</v>
      </c>
      <c r="E21" s="77" t="s">
        <v>58</v>
      </c>
      <c r="I21" s="3">
        <f>I19*I20</f>
        <v>6731.781210000001</v>
      </c>
      <c r="J21" s="6" t="s">
        <v>25</v>
      </c>
      <c r="K21" s="4">
        <f>IF(COUNTIF(L6,"*Younger*"),100%-18%-(K6*0.4%),IF(100%-18%+(K6*0.4%)&gt;100%,100%,100%-18%+(K6*0.4%)))</f>
        <v>0.83200000000000007</v>
      </c>
      <c r="L21" s="3">
        <f>(I13+I16)*K21</f>
        <v>11885.454776832001</v>
      </c>
      <c r="M21" s="7">
        <f>L21*J20</f>
        <v>5942.7273884160004</v>
      </c>
    </row>
    <row r="22" spans="1:16" ht="14.25" thickBot="1" x14ac:dyDescent="0.3">
      <c r="A22" s="24">
        <f>SUM(A20:A21)</f>
        <v>0</v>
      </c>
      <c r="B22" s="35">
        <f>SUM(B20:B21)</f>
        <v>4.33</v>
      </c>
      <c r="C22" s="25" t="s">
        <v>11</v>
      </c>
      <c r="D22" s="26">
        <f>SUM(D20:D21)</f>
        <v>541.25</v>
      </c>
      <c r="E22" s="2"/>
      <c r="F22" s="2"/>
      <c r="J22" s="16">
        <v>0.75</v>
      </c>
      <c r="K22" s="4">
        <f>IF(COUNTIF(L6,"*Younger*"),100%-24%-(K6*0.4%),IF(100%-24%+(K6*0.4%)&gt;100%,100%,100%-24%+(K6*0.4%)))</f>
        <v>0.77200000000000002</v>
      </c>
      <c r="L22" s="3">
        <f>(I13+I16+I19)*K22</f>
        <v>16225.265728392</v>
      </c>
      <c r="M22" s="7">
        <f>L22*J22</f>
        <v>12168.949296294</v>
      </c>
    </row>
    <row r="23" spans="1:16" ht="15" customHeight="1" thickBot="1" x14ac:dyDescent="0.3">
      <c r="A23" s="572" t="s">
        <v>13</v>
      </c>
      <c r="B23" s="573"/>
      <c r="C23" s="573"/>
      <c r="D23" s="574"/>
      <c r="E23" s="77" t="s">
        <v>60</v>
      </c>
      <c r="I23" s="3">
        <f>SUM(I13,I16,I19)</f>
        <v>21017.183585999999</v>
      </c>
      <c r="J23" s="6" t="s">
        <v>25</v>
      </c>
      <c r="K23" s="4">
        <f>IF(COUNTIF(L6,"*Younger*"),100%-24%-(K6*0.4%),IF(100%-24%+(K6*0.4%)&gt;100%,100%,100%-24%+(K6*0.4%)))</f>
        <v>0.77200000000000002</v>
      </c>
      <c r="L23" s="3">
        <f>(I13+I16)*K23</f>
        <v>11028.330634272001</v>
      </c>
      <c r="M23" s="7">
        <f>L23*J22</f>
        <v>8271.2479757040001</v>
      </c>
    </row>
    <row r="24" spans="1:16" x14ac:dyDescent="0.25">
      <c r="A24" s="259" cm="1">
        <f t="array" ref="A24">SUM('Pro-Rata Worksheet'!I6:I26-'Pro-Rata Worksheet'!B6:B26)</f>
        <v>0</v>
      </c>
      <c r="B24" s="261"/>
      <c r="C24" s="3">
        <v>105</v>
      </c>
      <c r="D24" s="5">
        <f t="shared" ref="D24:D29" si="1">(A24+B24)*C24</f>
        <v>0</v>
      </c>
      <c r="E24" s="77" t="s">
        <v>61</v>
      </c>
      <c r="I24" s="3">
        <f>SUM(I13,I16)</f>
        <v>14285.402376</v>
      </c>
      <c r="J24" s="16">
        <v>1</v>
      </c>
      <c r="K24" s="4">
        <f>IF(COUNTIF(L6,"*Younger*"),100%-30%-(K6*0.5%),IF(100%-30%+(K6*0.5%)&gt;100%,100%,100%-30%+(K6*0.5%)))</f>
        <v>0.71499999999999997</v>
      </c>
      <c r="L24" s="3">
        <f>(I13+I16+I19)*K24</f>
        <v>15027.286263989999</v>
      </c>
      <c r="M24" s="7">
        <f>L24*J24</f>
        <v>15027.286263989999</v>
      </c>
    </row>
    <row r="25" spans="1:16" ht="14.25" thickBot="1" x14ac:dyDescent="0.3">
      <c r="A25" s="259"/>
      <c r="B25" s="261"/>
      <c r="C25" s="3">
        <v>125</v>
      </c>
      <c r="D25" s="5">
        <f t="shared" si="1"/>
        <v>0</v>
      </c>
      <c r="E25" s="77"/>
      <c r="J25" s="18" t="s">
        <v>25</v>
      </c>
      <c r="K25" s="107">
        <f>IF(COUNTIF(L6,"*Younger*"),100%-30%-(K6*0.5%),IF(100%-30%+(K6*0.5%)&gt;100%,100%,100%-30%+(K6*0.5%)))</f>
        <v>0.71499999999999997</v>
      </c>
      <c r="L25" s="8">
        <f>(I13+I16)*K24</f>
        <v>10214.06269884</v>
      </c>
      <c r="M25" s="9">
        <f>L25*J24</f>
        <v>10214.06269884</v>
      </c>
    </row>
    <row r="26" spans="1:16" ht="14.25" thickBot="1" x14ac:dyDescent="0.3">
      <c r="A26" s="259"/>
      <c r="B26" s="261">
        <v>13.09</v>
      </c>
      <c r="C26" s="3">
        <v>135</v>
      </c>
      <c r="D26" s="5">
        <f t="shared" si="1"/>
        <v>1767.15</v>
      </c>
      <c r="E26" s="77" t="s">
        <v>62</v>
      </c>
      <c r="I26" s="3">
        <f>SUM(I15,I18,I21)</f>
        <v>21017.183585999999</v>
      </c>
    </row>
    <row r="27" spans="1:16" ht="14.25" thickBot="1" x14ac:dyDescent="0.3">
      <c r="A27" s="259"/>
      <c r="B27" s="261"/>
      <c r="C27" s="263"/>
      <c r="D27" s="5">
        <f t="shared" si="1"/>
        <v>0</v>
      </c>
      <c r="E27" s="77" t="s">
        <v>63</v>
      </c>
      <c r="I27" s="3">
        <f>SUM(I15,I18)</f>
        <v>14285.402376</v>
      </c>
      <c r="J27" s="540" t="s">
        <v>69</v>
      </c>
      <c r="K27" s="541"/>
      <c r="L27" s="541"/>
      <c r="M27" s="542"/>
    </row>
    <row r="28" spans="1:16" ht="15.75" customHeight="1" x14ac:dyDescent="0.25">
      <c r="A28" s="259"/>
      <c r="B28" s="261"/>
      <c r="C28" s="263"/>
      <c r="D28" s="5">
        <f t="shared" si="1"/>
        <v>0</v>
      </c>
      <c r="J28" s="79" t="s">
        <v>23</v>
      </c>
      <c r="K28" s="80" t="s">
        <v>24</v>
      </c>
      <c r="L28" s="80" t="s">
        <v>26</v>
      </c>
      <c r="M28" s="81" t="s">
        <v>27</v>
      </c>
    </row>
    <row r="29" spans="1:16" ht="14.25" thickBot="1" x14ac:dyDescent="0.3">
      <c r="A29" s="259"/>
      <c r="B29" s="261"/>
      <c r="C29" s="263"/>
      <c r="D29" s="5">
        <f t="shared" si="1"/>
        <v>0</v>
      </c>
      <c r="J29" s="16">
        <v>0.5</v>
      </c>
      <c r="K29" s="4">
        <f>IF(COUNTIF(L6,"*Younger*"),100%-8%-(K6*0.4%),IF(100%-8%+(K6*0.4%)&gt;100%,100%,100%-8%+(K6*0.4%)))</f>
        <v>0.93200000000000005</v>
      </c>
      <c r="L29" s="3">
        <f>(I13+I16+I19)*K29</f>
        <v>19588.015102152</v>
      </c>
      <c r="M29" s="7">
        <f>L29*J29</f>
        <v>9794.0075510759998</v>
      </c>
    </row>
    <row r="30" spans="1:16" ht="14.25" thickBot="1" x14ac:dyDescent="0.3">
      <c r="A30" s="24">
        <f>SUM(A24:A29)</f>
        <v>0</v>
      </c>
      <c r="B30" s="35">
        <f>SUM(B24:B29)</f>
        <v>13.09</v>
      </c>
      <c r="C30" s="23" t="s">
        <v>11</v>
      </c>
      <c r="D30" s="26">
        <f>SUM(D24:D29)</f>
        <v>1767.15</v>
      </c>
      <c r="J30" s="6" t="s">
        <v>25</v>
      </c>
      <c r="K30" s="4">
        <f>IF(COUNTIF(L6,"*Younger*"),100%-8%-(K6*0.4%),IF(100%-8%+(K6*0.4%)&gt;100%,100%,100%-8%+(K6*0.4%)))</f>
        <v>0.93200000000000005</v>
      </c>
      <c r="L30" s="3">
        <f>(I13+I16)*K30</f>
        <v>13313.995014432001</v>
      </c>
      <c r="M30" s="7">
        <f>L30*J29</f>
        <v>6656.9975072160005</v>
      </c>
    </row>
    <row r="31" spans="1:16" ht="15.75" customHeight="1" thickBot="1" x14ac:dyDescent="0.3">
      <c r="A31" s="36">
        <f>SUM(A18,A22,A30)</f>
        <v>0</v>
      </c>
      <c r="B31" s="37">
        <f>SUM(B18,B22,B30)</f>
        <v>44.379999999999995</v>
      </c>
      <c r="C31" s="28" t="s">
        <v>81</v>
      </c>
      <c r="D31" s="26">
        <f>SUM(D18,D22,D30)</f>
        <v>5517.1900000000005</v>
      </c>
      <c r="E31" s="77" t="s">
        <v>95</v>
      </c>
      <c r="I31" s="1">
        <v>16</v>
      </c>
      <c r="J31" s="16">
        <v>0.75</v>
      </c>
      <c r="K31" s="4">
        <f>IF(COUNTIF(L6,"*Younger*"),100%-12%-(K6*0.4%),IF(100%-12%+(K6*0.4%)&gt;100%,100%,100%-12%+(K6*0.4%)))</f>
        <v>0.89200000000000002</v>
      </c>
      <c r="L31" s="3">
        <f>(I13+I16+I19)*K31</f>
        <v>18747.327758711999</v>
      </c>
      <c r="M31" s="7">
        <f>L31*J31</f>
        <v>14060.495819034</v>
      </c>
      <c r="P31" s="1" t="s">
        <v>206</v>
      </c>
    </row>
    <row r="32" spans="1:16" ht="14.25" thickBot="1" x14ac:dyDescent="0.3">
      <c r="A32" s="561" t="s">
        <v>80</v>
      </c>
      <c r="B32" s="562"/>
      <c r="C32" s="562"/>
      <c r="D32" s="563"/>
      <c r="E32" s="77" t="s">
        <v>97</v>
      </c>
      <c r="I32" s="1">
        <v>0</v>
      </c>
      <c r="J32" s="6" t="s">
        <v>25</v>
      </c>
      <c r="K32" s="4">
        <f>IF(COUNTIF(L6,"*Younger*"),100%-12%-(K6*0.4%),IF(100%-12%+(K6*0.4%)&gt;100%,100%,100%-12%+(K6*0.4%)))</f>
        <v>0.89200000000000002</v>
      </c>
      <c r="L32" s="3">
        <f>(I13+I16)*K32</f>
        <v>12742.578919392001</v>
      </c>
      <c r="M32" s="7">
        <f>L32*J31</f>
        <v>9556.9341895440011</v>
      </c>
    </row>
    <row r="33" spans="1:13" ht="15.75" customHeight="1" x14ac:dyDescent="0.25">
      <c r="A33" s="259"/>
      <c r="B33" s="261"/>
      <c r="C33" s="3">
        <v>105</v>
      </c>
      <c r="D33" s="5">
        <f t="shared" ref="D33:D38" si="2">(A33+B33)*C33</f>
        <v>0</v>
      </c>
      <c r="E33" s="77" t="s">
        <v>67</v>
      </c>
      <c r="I33" s="4">
        <f>SUM(I31*1%)+(I32*1.5%)</f>
        <v>0.16</v>
      </c>
      <c r="J33" s="16">
        <v>1</v>
      </c>
      <c r="K33" s="4">
        <f>IF(COUNTIF(L6,"*Younger*"),100%-15%-(K6*0.5%),IF(100%-15%+(K6*0.5%)&gt;100%,100%,100%-15%+(K6*0.5%)))</f>
        <v>0.86499999999999999</v>
      </c>
      <c r="L33" s="3">
        <f>(I13+I16+I19)*K33</f>
        <v>18179.863801889998</v>
      </c>
      <c r="M33" s="7">
        <f>L33*J33</f>
        <v>18179.863801889998</v>
      </c>
    </row>
    <row r="34" spans="1:13" ht="14.65" customHeight="1" thickBot="1" x14ac:dyDescent="0.3">
      <c r="A34" s="259"/>
      <c r="B34" s="261"/>
      <c r="C34" s="3">
        <v>125</v>
      </c>
      <c r="D34" s="5">
        <f t="shared" si="2"/>
        <v>0</v>
      </c>
      <c r="E34" s="1" t="s">
        <v>66</v>
      </c>
      <c r="I34" s="3">
        <f>SUM(D31*I12)*I33</f>
        <v>3362.7493737600007</v>
      </c>
      <c r="J34" s="18" t="s">
        <v>25</v>
      </c>
      <c r="K34" s="107">
        <f>IF(COUNTIF(L6,"*Younger*"),100%-15%-(K6*0.5%),IF(100%-15%+(K6*0.5%)&gt;100%,100%,100%-15%+(K6*0.5%)))</f>
        <v>0.86499999999999999</v>
      </c>
      <c r="L34" s="8">
        <f>(I13+I16)*K34</f>
        <v>12356.873055239999</v>
      </c>
      <c r="M34" s="9">
        <f>L34*J33</f>
        <v>12356.873055239999</v>
      </c>
    </row>
    <row r="35" spans="1:13" ht="14.25" thickBot="1" x14ac:dyDescent="0.3">
      <c r="A35" s="259"/>
      <c r="B35" s="261"/>
      <c r="C35" s="3">
        <v>135</v>
      </c>
      <c r="D35" s="5">
        <f t="shared" si="2"/>
        <v>0</v>
      </c>
      <c r="E35" s="1" t="s">
        <v>68</v>
      </c>
      <c r="I35" s="3">
        <f>SUM((D18+D22)*I12)*I33</f>
        <v>2285.6643801599998</v>
      </c>
    </row>
    <row r="36" spans="1:13" ht="14.25" thickBot="1" x14ac:dyDescent="0.3">
      <c r="A36" s="259"/>
      <c r="B36" s="261"/>
      <c r="C36" s="263"/>
      <c r="D36" s="5">
        <f t="shared" si="2"/>
        <v>0</v>
      </c>
      <c r="E36" s="1" t="s">
        <v>71</v>
      </c>
      <c r="I36" s="3">
        <f>SUM((D31*I12)+I34)</f>
        <v>24379.932959760004</v>
      </c>
      <c r="J36" s="540" t="s">
        <v>70</v>
      </c>
      <c r="K36" s="541"/>
      <c r="L36" s="541"/>
      <c r="M36" s="542"/>
    </row>
    <row r="37" spans="1:13" x14ac:dyDescent="0.25">
      <c r="A37" s="259"/>
      <c r="B37" s="261"/>
      <c r="C37" s="263"/>
      <c r="D37" s="5">
        <f t="shared" si="2"/>
        <v>0</v>
      </c>
      <c r="E37" s="1" t="s">
        <v>72</v>
      </c>
      <c r="I37" s="3">
        <f>SUM((D18+D22)*I12+I35)</f>
        <v>16571.066756159998</v>
      </c>
      <c r="J37" s="79" t="s">
        <v>23</v>
      </c>
      <c r="K37" s="80" t="s">
        <v>24</v>
      </c>
      <c r="L37" s="80" t="s">
        <v>26</v>
      </c>
      <c r="M37" s="81" t="s">
        <v>27</v>
      </c>
    </row>
    <row r="38" spans="1:13" ht="14.25" thickBot="1" x14ac:dyDescent="0.3">
      <c r="A38" s="260"/>
      <c r="B38" s="262"/>
      <c r="C38" s="264"/>
      <c r="D38" s="85">
        <f t="shared" si="2"/>
        <v>0</v>
      </c>
      <c r="J38" s="16">
        <v>0.5</v>
      </c>
      <c r="K38" s="4">
        <f>IF(COUNTIF(L6,"*Younger*"),100%-8%-(K6*0.4%),IF(100%-8%+(K6*0.4%)&gt;100%,100%,100%-8%+(K6*0.4%)))</f>
        <v>0.93200000000000005</v>
      </c>
      <c r="L38" s="3">
        <f>I36*K38</f>
        <v>22722.097518496324</v>
      </c>
      <c r="M38" s="7">
        <f>L38*J38</f>
        <v>11361.048759248162</v>
      </c>
    </row>
    <row r="39" spans="1:13" ht="14.25" thickBot="1" x14ac:dyDescent="0.3">
      <c r="A39" s="120">
        <f>SUM(A33:A38)</f>
        <v>0</v>
      </c>
      <c r="B39" s="219">
        <f>SUM(B33:B38)</f>
        <v>0</v>
      </c>
      <c r="C39" s="224" t="s">
        <v>11</v>
      </c>
      <c r="D39" s="88">
        <f>SUM(D33:D38)</f>
        <v>0</v>
      </c>
      <c r="E39" s="1" t="s">
        <v>75</v>
      </c>
      <c r="I39" s="3">
        <f>I23</f>
        <v>21017.183585999999</v>
      </c>
      <c r="J39" s="6" t="s">
        <v>25</v>
      </c>
      <c r="K39" s="4">
        <f>IF(COUNTIF(L6,"*Younger*"),100%-8%-(K6*0.4%),IF(100%-8%+(K6*0.4%)&gt;100%,100%,100%-8%+(K6*0.4%)))</f>
        <v>0.93200000000000005</v>
      </c>
      <c r="L39" s="3">
        <f>I37*K39</f>
        <v>15444.234216741119</v>
      </c>
      <c r="M39" s="7">
        <f>L39*J38</f>
        <v>7722.1171083705594</v>
      </c>
    </row>
    <row r="40" spans="1:13" ht="15.75" customHeight="1" thickBot="1" x14ac:dyDescent="0.3">
      <c r="A40" s="24">
        <f>SUM(A18,A22,A30,A39)</f>
        <v>0</v>
      </c>
      <c r="B40" s="35">
        <f>SUM(B18,B22,B30,B39)</f>
        <v>44.379999999999995</v>
      </c>
      <c r="C40" s="28" t="s">
        <v>37</v>
      </c>
      <c r="D40" s="26">
        <f>SUM(D18,D22,D30,D39)</f>
        <v>5517.1900000000005</v>
      </c>
      <c r="E40" s="1" t="s">
        <v>76</v>
      </c>
      <c r="I40" s="3">
        <f>I36</f>
        <v>24379.932959760004</v>
      </c>
      <c r="J40" s="16">
        <v>0.75</v>
      </c>
      <c r="K40" s="4">
        <f>IF(COUNTIF(L6,"*Younger*"),100%-12%-(K6*0.4%),IF(100%-12%+(K6*0.4%)&gt;100%,100%,100%-12%+(K6*0.4%)))</f>
        <v>0.89200000000000002</v>
      </c>
      <c r="L40" s="3">
        <f>I36*K40</f>
        <v>21746.900200105923</v>
      </c>
      <c r="M40" s="7">
        <f>L40*J40</f>
        <v>16310.175150079442</v>
      </c>
    </row>
    <row r="41" spans="1:13" x14ac:dyDescent="0.25">
      <c r="E41" s="1" t="s">
        <v>77</v>
      </c>
      <c r="H41" s="1" t="str">
        <f>IF(I39=I40,"No Difference",IF(I39&lt;I40,"Calculation 2","Calculation 1"))</f>
        <v>Calculation 2</v>
      </c>
      <c r="I41" s="3">
        <f>IF(I39=I40,I39,IF(I39&lt;I40,I40,I39))</f>
        <v>24379.932959760004</v>
      </c>
      <c r="J41" s="6" t="s">
        <v>25</v>
      </c>
      <c r="K41" s="4">
        <f>IF(COUNTIF(L6,"*Younger*"),100%-12%-(K6*0.4%),IF(100%-12%+(K6*0.4%)&gt;100%,100%,100%-12%+(K6*0.4%)))</f>
        <v>0.89200000000000002</v>
      </c>
      <c r="L41" s="3">
        <f>I37*K41</f>
        <v>14781.391546494719</v>
      </c>
      <c r="M41" s="7">
        <f>L41*J40</f>
        <v>11086.043659871038</v>
      </c>
    </row>
    <row r="42" spans="1:13" x14ac:dyDescent="0.25">
      <c r="J42" s="16">
        <v>1</v>
      </c>
      <c r="K42" s="4">
        <f>IF(COUNTIF(L6,"*Younger*"),100%-15%-(K6*0.5%),IF(100%-15%+(K6*0.5%)&gt;100%,100%,100%-15%+(K6*0.5%)))</f>
        <v>0.86499999999999999</v>
      </c>
      <c r="L42" s="3">
        <f>I36*K42</f>
        <v>21088.642010192405</v>
      </c>
      <c r="M42" s="7">
        <f>L42*J42</f>
        <v>21088.642010192405</v>
      </c>
    </row>
    <row r="43" spans="1:13" ht="14.25" thickBot="1" x14ac:dyDescent="0.3">
      <c r="A43" s="1" t="s">
        <v>30</v>
      </c>
      <c r="B43" s="571"/>
      <c r="C43" s="571"/>
      <c r="D43" s="571"/>
      <c r="E43" s="1" t="s">
        <v>31</v>
      </c>
      <c r="F43" s="571"/>
      <c r="G43" s="571"/>
      <c r="H43" s="571"/>
      <c r="J43" s="18" t="s">
        <v>25</v>
      </c>
      <c r="K43" s="107">
        <f>IF(COUNTIF(L6,"*Younger*"),100%-15%-(K6*0.5%),IF(100%-15%+(K6*0.5%)&gt;100%,100%,100%-15%+(K6*0.5%)))</f>
        <v>0.86499999999999999</v>
      </c>
      <c r="L43" s="8">
        <f>I37*K43</f>
        <v>14333.972744078399</v>
      </c>
      <c r="M43" s="9">
        <f>L43*J42</f>
        <v>14333.972744078399</v>
      </c>
    </row>
  </sheetData>
  <mergeCells count="23">
    <mergeCell ref="A19:D19"/>
    <mergeCell ref="A8:C8"/>
    <mergeCell ref="A3:C3"/>
    <mergeCell ref="A4:C4"/>
    <mergeCell ref="A5:C5"/>
    <mergeCell ref="A6:C6"/>
    <mergeCell ref="A7:C7"/>
    <mergeCell ref="F43:H43"/>
    <mergeCell ref="J36:M36"/>
    <mergeCell ref="A23:D23"/>
    <mergeCell ref="A32:D32"/>
    <mergeCell ref="A1:M1"/>
    <mergeCell ref="B43:D43"/>
    <mergeCell ref="H6:J6"/>
    <mergeCell ref="D6:F6"/>
    <mergeCell ref="J9:M9"/>
    <mergeCell ref="J2:K2"/>
    <mergeCell ref="D2:F2"/>
    <mergeCell ref="A9:D9"/>
    <mergeCell ref="A2:C2"/>
    <mergeCell ref="E9:I9"/>
    <mergeCell ref="J18:M18"/>
    <mergeCell ref="J27:M27"/>
  </mergeCells>
  <phoneticPr fontId="14" type="noConversion"/>
  <pageMargins left="0.7" right="0.7" top="0.75" bottom="0.75" header="0.3" footer="0.3"/>
  <pageSetup scale="72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A38B-C58A-4AE0-A5E6-E69D056CD3C4}">
  <sheetPr>
    <pageSetUpPr fitToPage="1"/>
  </sheetPr>
  <dimension ref="A1:K31"/>
  <sheetViews>
    <sheetView workbookViewId="0">
      <selection activeCell="B8" sqref="B8"/>
    </sheetView>
  </sheetViews>
  <sheetFormatPr defaultRowHeight="15" x14ac:dyDescent="0.25"/>
  <cols>
    <col min="1" max="1" width="21.5703125" bestFit="1" customWidth="1"/>
    <col min="2" max="2" width="11.85546875" bestFit="1" customWidth="1"/>
    <col min="3" max="3" width="10.5703125" bestFit="1" customWidth="1"/>
    <col min="4" max="4" width="12.140625" bestFit="1" customWidth="1"/>
    <col min="5" max="5" width="15.42578125" bestFit="1" customWidth="1"/>
    <col min="6" max="6" width="17.140625" customWidth="1"/>
    <col min="7" max="7" width="15.28515625" bestFit="1" customWidth="1"/>
    <col min="10" max="10" width="10.5703125" bestFit="1" customWidth="1"/>
    <col min="11" max="11" width="13.28515625" bestFit="1" customWidth="1"/>
  </cols>
  <sheetData>
    <row r="1" spans="1:11" x14ac:dyDescent="0.25">
      <c r="A1" s="576" t="s">
        <v>461</v>
      </c>
      <c r="B1" s="576"/>
      <c r="C1" s="576"/>
      <c r="D1" s="576"/>
      <c r="E1" s="576"/>
      <c r="F1" s="576"/>
      <c r="G1" s="576"/>
    </row>
    <row r="2" spans="1:11" x14ac:dyDescent="0.25">
      <c r="A2" s="195"/>
      <c r="B2" s="195"/>
      <c r="C2" s="195"/>
      <c r="D2" s="195"/>
      <c r="E2" s="195"/>
      <c r="F2" s="195"/>
      <c r="G2" s="195"/>
    </row>
    <row r="3" spans="1:11" x14ac:dyDescent="0.25">
      <c r="A3" s="576" t="s">
        <v>477</v>
      </c>
      <c r="B3" s="576"/>
      <c r="C3" s="529">
        <f ca="1">TODAY()</f>
        <v>46164</v>
      </c>
      <c r="D3" s="530">
        <f ca="1">NOW()</f>
        <v>46164.659340509257</v>
      </c>
      <c r="E3" s="195"/>
      <c r="F3" s="195"/>
      <c r="G3" s="195"/>
    </row>
    <row r="4" spans="1:11" x14ac:dyDescent="0.25">
      <c r="A4" s="195" t="s">
        <v>1</v>
      </c>
      <c r="B4" s="195" t="s">
        <v>486</v>
      </c>
      <c r="C4" s="529"/>
      <c r="D4" s="530"/>
      <c r="E4" s="195"/>
      <c r="F4" s="195"/>
      <c r="G4" s="195"/>
    </row>
    <row r="5" spans="1:11" x14ac:dyDescent="0.25">
      <c r="A5" s="195" t="s">
        <v>0</v>
      </c>
      <c r="B5" s="195" t="s">
        <v>485</v>
      </c>
      <c r="C5" s="529"/>
      <c r="D5" s="530"/>
      <c r="E5" s="195"/>
      <c r="F5" s="195"/>
      <c r="G5" s="195"/>
    </row>
    <row r="6" spans="1:11" x14ac:dyDescent="0.25">
      <c r="A6" s="195" t="s">
        <v>481</v>
      </c>
      <c r="B6" s="529">
        <v>45809</v>
      </c>
      <c r="C6" s="195"/>
      <c r="D6" s="195"/>
      <c r="E6" s="195"/>
      <c r="F6" s="195"/>
      <c r="G6" s="195"/>
    </row>
    <row r="7" spans="1:11" x14ac:dyDescent="0.25">
      <c r="A7" s="195" t="s">
        <v>482</v>
      </c>
      <c r="B7" s="529">
        <v>45809</v>
      </c>
      <c r="C7" s="195"/>
      <c r="D7" s="195"/>
      <c r="E7" s="195"/>
      <c r="F7" s="195"/>
      <c r="G7" s="195"/>
    </row>
    <row r="8" spans="1:11" x14ac:dyDescent="0.25">
      <c r="A8" s="195" t="s">
        <v>483</v>
      </c>
      <c r="B8" s="529">
        <v>46143</v>
      </c>
      <c r="C8" s="195"/>
      <c r="D8" s="195"/>
      <c r="E8" s="195"/>
      <c r="F8" s="195"/>
      <c r="G8" s="195"/>
    </row>
    <row r="9" spans="1:11" x14ac:dyDescent="0.25">
      <c r="A9" s="195" t="s">
        <v>484</v>
      </c>
      <c r="B9" s="529">
        <v>46147</v>
      </c>
      <c r="C9" s="195"/>
      <c r="D9" s="195"/>
      <c r="E9" s="195"/>
      <c r="F9" s="195"/>
      <c r="G9" s="195"/>
    </row>
    <row r="10" spans="1:11" x14ac:dyDescent="0.25">
      <c r="A10" s="195" t="s">
        <v>462</v>
      </c>
      <c r="B10" t="s">
        <v>463</v>
      </c>
      <c r="C10" t="s">
        <v>269</v>
      </c>
      <c r="D10" t="s">
        <v>464</v>
      </c>
      <c r="E10" t="s">
        <v>465</v>
      </c>
      <c r="G10" s="195"/>
    </row>
    <row r="11" spans="1:11" x14ac:dyDescent="0.25">
      <c r="A11" s="117">
        <f>B7</f>
        <v>45809</v>
      </c>
      <c r="B11" s="196">
        <v>53.64</v>
      </c>
      <c r="C11" s="515">
        <f>DATEDIF(A11,B8,"m")+1</f>
        <v>12</v>
      </c>
      <c r="D11" s="513">
        <f t="shared" ref="D11:D22" si="0">((0.04/12)*C11+1)</f>
        <v>1.04</v>
      </c>
      <c r="E11" s="512">
        <f t="shared" ref="E11:E22" si="1">(B11*(ROUND((0.04/12)*C11+1,8)))</f>
        <v>55.785600000000002</v>
      </c>
    </row>
    <row r="12" spans="1:11" x14ac:dyDescent="0.25">
      <c r="A12" s="117">
        <f>IF(OR(A11=B8,A11=""),"",EDATE(A11,1))</f>
        <v>45839</v>
      </c>
      <c r="B12" s="196">
        <v>53.64</v>
      </c>
      <c r="C12" s="515">
        <f>DATEDIF(A12,B8,"m")+1</f>
        <v>11</v>
      </c>
      <c r="D12" s="513">
        <f t="shared" si="0"/>
        <v>1.0366666666666666</v>
      </c>
      <c r="E12" s="512">
        <f t="shared" si="1"/>
        <v>55.6068001788</v>
      </c>
      <c r="G12" s="117"/>
      <c r="H12" s="514"/>
      <c r="I12" s="515"/>
      <c r="J12" s="513"/>
      <c r="K12" s="513"/>
    </row>
    <row r="13" spans="1:11" x14ac:dyDescent="0.25">
      <c r="A13" s="117">
        <f>IF(OR(A12=B8,A12=""),"",EDATE(A12,1))</f>
        <v>45870</v>
      </c>
      <c r="B13" s="196">
        <v>53.64</v>
      </c>
      <c r="C13" s="515">
        <f>DATEDIF(A13,B8,"m")+1</f>
        <v>10</v>
      </c>
      <c r="D13" s="513">
        <f t="shared" si="0"/>
        <v>1.0333333333333334</v>
      </c>
      <c r="E13" s="512">
        <f t="shared" si="1"/>
        <v>55.427999821200004</v>
      </c>
      <c r="G13" s="117"/>
      <c r="H13" s="514"/>
      <c r="I13" s="515"/>
      <c r="J13" s="513"/>
      <c r="K13" s="513"/>
    </row>
    <row r="14" spans="1:11" x14ac:dyDescent="0.25">
      <c r="A14" s="117">
        <f>IF(OR(A13=B8,A13=""),"",EDATE(A13,1))</f>
        <v>45901</v>
      </c>
      <c r="B14" s="196">
        <v>53.64</v>
      </c>
      <c r="C14" s="515">
        <f>DATEDIF(A14,B8,"m")+1</f>
        <v>9</v>
      </c>
      <c r="D14" s="513">
        <f t="shared" si="0"/>
        <v>1.03</v>
      </c>
      <c r="E14" s="512">
        <f t="shared" si="1"/>
        <v>55.249200000000002</v>
      </c>
      <c r="G14" s="117"/>
      <c r="H14" s="514"/>
      <c r="I14" s="515"/>
      <c r="J14" s="513"/>
      <c r="K14" s="513"/>
    </row>
    <row r="15" spans="1:11" x14ac:dyDescent="0.25">
      <c r="A15" s="117">
        <f>IF(OR(A14=B8,A14=""),"",EDATE(A14,1))</f>
        <v>45931</v>
      </c>
      <c r="B15" s="196">
        <v>53.64</v>
      </c>
      <c r="C15" s="515">
        <f>DATEDIF(A15,B8,"m")+1</f>
        <v>8</v>
      </c>
      <c r="D15" s="513">
        <f t="shared" si="0"/>
        <v>1.0266666666666666</v>
      </c>
      <c r="E15" s="512">
        <f t="shared" si="1"/>
        <v>55.0704001788</v>
      </c>
      <c r="G15" s="117"/>
      <c r="H15" s="514"/>
      <c r="I15" s="515"/>
      <c r="J15" s="513"/>
      <c r="K15" s="513"/>
    </row>
    <row r="16" spans="1:11" x14ac:dyDescent="0.25">
      <c r="A16" s="117">
        <f>IF(OR(A15=B8,A15=""),"",EDATE(A15,1))</f>
        <v>45962</v>
      </c>
      <c r="B16" s="196">
        <v>53.64</v>
      </c>
      <c r="C16" s="515">
        <f>DATEDIF(A16,B8,"m")+1</f>
        <v>7</v>
      </c>
      <c r="D16" s="513">
        <f t="shared" si="0"/>
        <v>1.0233333333333334</v>
      </c>
      <c r="E16" s="512">
        <f t="shared" si="1"/>
        <v>54.891599821200003</v>
      </c>
      <c r="G16" s="117"/>
      <c r="H16" s="514"/>
      <c r="I16" s="515"/>
      <c r="J16" s="513"/>
      <c r="K16" s="513"/>
    </row>
    <row r="17" spans="1:11" x14ac:dyDescent="0.25">
      <c r="A17" s="117">
        <f>IF(OR(A16=B8,A16=""),"",EDATE(A16,1))</f>
        <v>45992</v>
      </c>
      <c r="B17" s="196">
        <v>53.64</v>
      </c>
      <c r="C17" s="515">
        <f>DATEDIF(A17,B8,"m")+1</f>
        <v>6</v>
      </c>
      <c r="D17" s="513">
        <f t="shared" si="0"/>
        <v>1.02</v>
      </c>
      <c r="E17" s="512">
        <f t="shared" si="1"/>
        <v>54.712800000000001</v>
      </c>
      <c r="G17" s="117"/>
      <c r="H17" s="514"/>
      <c r="I17" s="515"/>
      <c r="J17" s="513"/>
      <c r="K17" s="513"/>
    </row>
    <row r="18" spans="1:11" x14ac:dyDescent="0.25">
      <c r="A18" s="117">
        <f>IF(OR(A17=B8,A17=""),"",EDATE(A17,1))</f>
        <v>46023</v>
      </c>
      <c r="B18" s="196">
        <v>53.64</v>
      </c>
      <c r="C18" s="515">
        <f>DATEDIF(A18,B8,"m")+1</f>
        <v>5</v>
      </c>
      <c r="D18" s="513">
        <f t="shared" ref="D18" si="2">((0.04/12)*C18+1)</f>
        <v>1.0166666666666666</v>
      </c>
      <c r="E18" s="512">
        <f t="shared" ref="E18" si="3">(B18*(ROUND((0.04/12)*C18+1,8)))</f>
        <v>54.5340001788</v>
      </c>
      <c r="G18" s="117"/>
      <c r="H18" s="514"/>
      <c r="I18" s="515"/>
      <c r="J18" s="513"/>
      <c r="K18" s="513"/>
    </row>
    <row r="19" spans="1:11" x14ac:dyDescent="0.25">
      <c r="A19" s="117">
        <f>IF(OR(A18=B8,A18=""),"",EDATE(A18,1))</f>
        <v>46054</v>
      </c>
      <c r="B19" s="196">
        <v>53.64</v>
      </c>
      <c r="C19" s="515">
        <f>DATEDIF(A19,B8,"m")+1</f>
        <v>4</v>
      </c>
      <c r="D19" s="513">
        <f t="shared" si="0"/>
        <v>1.0133333333333334</v>
      </c>
      <c r="E19" s="512">
        <f t="shared" si="1"/>
        <v>54.355199821200003</v>
      </c>
      <c r="G19" s="117"/>
      <c r="H19" s="514"/>
      <c r="I19" s="515"/>
      <c r="J19" s="513"/>
      <c r="K19" s="513"/>
    </row>
    <row r="20" spans="1:11" x14ac:dyDescent="0.25">
      <c r="A20" s="117">
        <f>IF(OR(A19=B8,A19=""),"",EDATE(A19,1))</f>
        <v>46082</v>
      </c>
      <c r="B20" s="196">
        <v>53.64</v>
      </c>
      <c r="C20" s="515">
        <f>DATEDIF(A20,B8,"m")+1</f>
        <v>3</v>
      </c>
      <c r="D20" s="513">
        <f t="shared" si="0"/>
        <v>1.01</v>
      </c>
      <c r="E20" s="512">
        <f t="shared" si="1"/>
        <v>54.176400000000001</v>
      </c>
      <c r="G20" s="117"/>
      <c r="H20" s="514"/>
      <c r="I20" s="515"/>
      <c r="J20" s="513"/>
      <c r="K20" s="513"/>
    </row>
    <row r="21" spans="1:11" x14ac:dyDescent="0.25">
      <c r="A21" s="117">
        <f>IF(OR(A20=B8,A20=""),"",EDATE(A20,1))</f>
        <v>46113</v>
      </c>
      <c r="B21" s="196">
        <v>53.64</v>
      </c>
      <c r="C21" s="515">
        <f>DATEDIF(A21,B8,"m")+1</f>
        <v>2</v>
      </c>
      <c r="D21" s="513">
        <f t="shared" si="0"/>
        <v>1.0066666666666666</v>
      </c>
      <c r="E21" s="512">
        <f t="shared" si="1"/>
        <v>53.997600178799999</v>
      </c>
      <c r="G21" s="117"/>
      <c r="H21" s="514"/>
      <c r="I21" s="515"/>
      <c r="J21" s="513"/>
      <c r="K21" s="513"/>
    </row>
    <row r="22" spans="1:11" x14ac:dyDescent="0.25">
      <c r="A22" s="117">
        <f t="shared" ref="A13:A23" si="4">IF(OR(A21=B18,A21=""),"",EDATE(A21,1))</f>
        <v>46143</v>
      </c>
      <c r="B22" s="196">
        <v>53.64</v>
      </c>
      <c r="C22" s="515">
        <f>IF(A22="","",DATEDIF(A22,B8,"m")+1)</f>
        <v>1</v>
      </c>
      <c r="D22" s="513">
        <f t="shared" si="0"/>
        <v>1.0033333333333334</v>
      </c>
      <c r="E22" s="512">
        <f t="shared" si="1"/>
        <v>53.818799821200002</v>
      </c>
      <c r="G22" s="117"/>
      <c r="H22" s="514"/>
      <c r="I22" s="515"/>
      <c r="J22" s="513"/>
      <c r="K22" s="513"/>
    </row>
    <row r="23" spans="1:11" x14ac:dyDescent="0.25">
      <c r="A23" s="117" t="str">
        <f>IF(OR(A22=B8,A22=""),"",EDATE(A22,1))</f>
        <v/>
      </c>
      <c r="B23" s="196">
        <v>53.64</v>
      </c>
      <c r="C23" s="515" t="str">
        <f>IF(A23="","",DATEDIF(A23,B8,"m")+1)</f>
        <v/>
      </c>
      <c r="D23" s="513" t="e">
        <f>((0.04/12)*C23+1)</f>
        <v>#VALUE!</v>
      </c>
      <c r="E23" s="512" t="e">
        <f>(B23*(ROUND((0.04/12)*C23+1,8)))</f>
        <v>#VALUE!</v>
      </c>
      <c r="G23" s="117"/>
      <c r="H23" s="514"/>
      <c r="I23" s="515"/>
      <c r="J23" s="513"/>
      <c r="K23" s="513"/>
    </row>
    <row r="24" spans="1:11" x14ac:dyDescent="0.25">
      <c r="B24" s="196"/>
      <c r="E24" s="512"/>
      <c r="K24" s="512"/>
    </row>
    <row r="25" spans="1:11" x14ac:dyDescent="0.25">
      <c r="B25" s="196"/>
      <c r="E25" s="512"/>
      <c r="K25" s="512"/>
    </row>
    <row r="26" spans="1:11" x14ac:dyDescent="0.25">
      <c r="A26" t="s">
        <v>478</v>
      </c>
      <c r="B26" s="196">
        <f>SUM(B11:B23)</f>
        <v>697.31999999999994</v>
      </c>
      <c r="E26" s="512"/>
      <c r="H26" s="196"/>
      <c r="K26" s="512"/>
    </row>
    <row r="27" spans="1:11" x14ac:dyDescent="0.25">
      <c r="A27" t="s">
        <v>479</v>
      </c>
      <c r="B27" s="196" t="e">
        <f>SUM(E11:E23)</f>
        <v>#VALUE!</v>
      </c>
      <c r="E27" s="512"/>
      <c r="H27" s="196"/>
      <c r="K27" s="512"/>
    </row>
    <row r="28" spans="1:11" x14ac:dyDescent="0.25">
      <c r="A28" t="s">
        <v>480</v>
      </c>
      <c r="B28" s="196" t="e">
        <f>B27-B26</f>
        <v>#VALUE!</v>
      </c>
      <c r="E28" s="512"/>
      <c r="H28" s="196"/>
      <c r="K28" s="512"/>
    </row>
    <row r="29" spans="1:11" x14ac:dyDescent="0.25">
      <c r="B29" s="196"/>
    </row>
    <row r="30" spans="1:11" x14ac:dyDescent="0.25">
      <c r="B30" s="196"/>
    </row>
    <row r="31" spans="1:11" x14ac:dyDescent="0.25">
      <c r="B31" s="196"/>
    </row>
  </sheetData>
  <mergeCells count="2">
    <mergeCell ref="A1:G1"/>
    <mergeCell ref="A3:B3"/>
  </mergeCells>
  <pageMargins left="0.7" right="0.7" top="0.75" bottom="0.75" header="0.3" footer="0.3"/>
  <pageSetup fitToHeight="0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AE3C-A8F0-4F58-80CA-70D436F00B4E}">
  <dimension ref="B1:G9"/>
  <sheetViews>
    <sheetView workbookViewId="0">
      <selection activeCell="F18" sqref="F18"/>
    </sheetView>
  </sheetViews>
  <sheetFormatPr defaultRowHeight="15" x14ac:dyDescent="0.25"/>
  <cols>
    <col min="2" max="2" width="19.5703125" bestFit="1" customWidth="1"/>
    <col min="3" max="3" width="14.28515625" bestFit="1" customWidth="1"/>
    <col min="4" max="4" width="14.5703125" customWidth="1"/>
    <col min="5" max="5" width="21" customWidth="1"/>
    <col min="6" max="6" width="28.5703125" customWidth="1"/>
    <col min="7" max="7" width="25.7109375" customWidth="1"/>
  </cols>
  <sheetData>
    <row r="1" spans="2:7" x14ac:dyDescent="0.25">
      <c r="B1" s="577" t="s">
        <v>201</v>
      </c>
      <c r="C1" s="199" t="s">
        <v>213</v>
      </c>
      <c r="D1" s="199"/>
      <c r="E1" s="579" t="s">
        <v>200</v>
      </c>
      <c r="F1" s="581" t="str">
        <f>"What member will receive if they ask for $"&amp;B4</f>
        <v>What member will receive if they ask for $20000</v>
      </c>
      <c r="G1" s="583" t="str">
        <f>"What member will receive if they ask for $"&amp;ROUND(E4,2)</f>
        <v>What member will receive if they ask for $25000</v>
      </c>
    </row>
    <row r="2" spans="2:7" x14ac:dyDescent="0.25">
      <c r="B2" s="578"/>
      <c r="C2" s="225">
        <f>B4*0.1</f>
        <v>2000</v>
      </c>
      <c r="D2" s="201" t="s">
        <v>204</v>
      </c>
      <c r="E2" s="580"/>
      <c r="F2" s="582"/>
      <c r="G2" s="584"/>
    </row>
    <row r="3" spans="2:7" x14ac:dyDescent="0.25">
      <c r="B3" s="578"/>
      <c r="C3" s="201" t="s">
        <v>199</v>
      </c>
      <c r="D3" s="201" t="s">
        <v>205</v>
      </c>
      <c r="E3" s="580"/>
      <c r="F3" s="582"/>
      <c r="G3" s="584"/>
    </row>
    <row r="4" spans="2:7" ht="15.75" thickBot="1" x14ac:dyDescent="0.3">
      <c r="B4" s="265">
        <v>20000</v>
      </c>
      <c r="C4" s="202">
        <f>B4*0.2</f>
        <v>4000</v>
      </c>
      <c r="D4" s="202"/>
      <c r="E4" s="203">
        <f>SUM(B4+(B4*0.25))</f>
        <v>25000</v>
      </c>
      <c r="F4" s="202">
        <f>SUM(B4-(C4+D4))</f>
        <v>16000</v>
      </c>
      <c r="G4" s="198">
        <f>SUM(E4-(E4*0.2))</f>
        <v>20000</v>
      </c>
    </row>
    <row r="5" spans="2:7" ht="15.75" hidden="1" thickBot="1" x14ac:dyDescent="0.3">
      <c r="B5" s="208"/>
      <c r="C5" s="200"/>
      <c r="D5" s="200"/>
      <c r="E5" s="204"/>
      <c r="F5" s="200"/>
      <c r="G5" s="205"/>
    </row>
    <row r="6" spans="2:7" x14ac:dyDescent="0.25">
      <c r="B6" s="577" t="s">
        <v>201</v>
      </c>
      <c r="C6" s="206" t="s">
        <v>213</v>
      </c>
      <c r="D6" s="206"/>
      <c r="E6" s="579" t="s">
        <v>200</v>
      </c>
      <c r="F6" s="581" t="str">
        <f>"What member will receive if they ask for $"&amp;B9</f>
        <v>What member will receive if they ask for $20000</v>
      </c>
      <c r="G6" s="583" t="str">
        <f>"What member will receive if they ask for $"&amp;ROUND(E9,2)</f>
        <v>What member will receive if they ask for $25642</v>
      </c>
    </row>
    <row r="7" spans="2:7" x14ac:dyDescent="0.25">
      <c r="B7" s="578"/>
      <c r="C7" s="225">
        <f>B9*0.1</f>
        <v>2000</v>
      </c>
      <c r="D7" s="201" t="s">
        <v>203</v>
      </c>
      <c r="E7" s="580"/>
      <c r="F7" s="582"/>
      <c r="G7" s="584"/>
    </row>
    <row r="8" spans="2:7" x14ac:dyDescent="0.25">
      <c r="B8" s="578"/>
      <c r="C8" s="201" t="s">
        <v>199</v>
      </c>
      <c r="D8" s="201" t="s">
        <v>202</v>
      </c>
      <c r="E8" s="580"/>
      <c r="F8" s="582"/>
      <c r="G8" s="584"/>
    </row>
    <row r="9" spans="2:7" ht="15.75" thickBot="1" x14ac:dyDescent="0.3">
      <c r="B9" s="207">
        <f>B4</f>
        <v>20000</v>
      </c>
      <c r="C9" s="202">
        <f>B9*0.2</f>
        <v>4000</v>
      </c>
      <c r="D9" s="202">
        <f>0.02*B9</f>
        <v>400</v>
      </c>
      <c r="E9" s="203">
        <f>SUM(B9+(B9*0.25)+(B9*0.0321))</f>
        <v>25642</v>
      </c>
      <c r="F9" s="202">
        <f>SUM(B9-(C9+D9))</f>
        <v>15600</v>
      </c>
      <c r="G9" s="198">
        <f>SUM(E9-((E9*0.2)+(E9*0.02)))</f>
        <v>20000.759999999998</v>
      </c>
    </row>
  </sheetData>
  <mergeCells count="8">
    <mergeCell ref="B1:B3"/>
    <mergeCell ref="E1:E3"/>
    <mergeCell ref="F1:F3"/>
    <mergeCell ref="G1:G3"/>
    <mergeCell ref="B6:B8"/>
    <mergeCell ref="E6:E8"/>
    <mergeCell ref="F6:F8"/>
    <mergeCell ref="G6:G8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FCD4-D863-4843-8E85-A484EFFA3D1D}">
  <dimension ref="A1:K96"/>
  <sheetViews>
    <sheetView zoomScaleNormal="100" workbookViewId="0">
      <selection activeCell="L17" sqref="L17"/>
    </sheetView>
  </sheetViews>
  <sheetFormatPr defaultRowHeight="12.75" x14ac:dyDescent="0.2"/>
  <cols>
    <col min="1" max="1" width="9.140625" style="39"/>
    <col min="2" max="2" width="11.5703125" style="39" customWidth="1"/>
    <col min="3" max="3" width="11.85546875" style="39" bestFit="1" customWidth="1"/>
    <col min="4" max="4" width="9.140625" style="39"/>
    <col min="5" max="5" width="17.28515625" style="39" bestFit="1" customWidth="1"/>
    <col min="6" max="6" width="8.140625" style="39" customWidth="1"/>
    <col min="7" max="7" width="9.140625" style="39"/>
    <col min="8" max="8" width="11.85546875" style="39" bestFit="1" customWidth="1"/>
    <col min="9" max="9" width="10.7109375" style="39" bestFit="1" customWidth="1"/>
    <col min="10" max="16384" width="9.140625" style="39"/>
  </cols>
  <sheetData>
    <row r="1" spans="1:11" ht="15" x14ac:dyDescent="0.2">
      <c r="A1" s="585" t="s">
        <v>435</v>
      </c>
      <c r="B1" s="585"/>
      <c r="C1" s="585"/>
      <c r="D1" s="585"/>
      <c r="E1" s="585"/>
      <c r="F1" s="585"/>
      <c r="G1" s="585"/>
      <c r="H1" s="585"/>
      <c r="I1" s="585"/>
    </row>
    <row r="2" spans="1:11" ht="15" x14ac:dyDescent="0.2">
      <c r="A2" s="585" t="s">
        <v>436</v>
      </c>
      <c r="B2" s="585"/>
      <c r="C2" s="585"/>
      <c r="D2" s="585"/>
      <c r="E2" s="585"/>
      <c r="F2" s="585"/>
      <c r="G2" s="585"/>
      <c r="H2" s="585"/>
      <c r="I2" s="585"/>
    </row>
    <row r="4" spans="1:11" ht="14.25" x14ac:dyDescent="0.2">
      <c r="A4" s="484"/>
      <c r="B4" s="484"/>
      <c r="C4" s="484"/>
      <c r="D4" s="484"/>
      <c r="E4" s="484"/>
      <c r="F4" s="484"/>
      <c r="G4" s="484"/>
      <c r="H4" s="484"/>
      <c r="I4" s="484"/>
      <c r="J4" s="484"/>
      <c r="K4" s="484"/>
    </row>
    <row r="5" spans="1:11" ht="14.25" x14ac:dyDescent="0.2">
      <c r="A5" s="484" t="s">
        <v>437</v>
      </c>
      <c r="B5" s="484"/>
      <c r="C5" s="485" t="s">
        <v>438</v>
      </c>
      <c r="D5" s="485"/>
      <c r="E5" s="485"/>
      <c r="F5" s="485"/>
      <c r="G5" s="486" t="s">
        <v>439</v>
      </c>
      <c r="H5" s="485" t="s">
        <v>440</v>
      </c>
      <c r="I5" s="485"/>
      <c r="J5" s="484"/>
      <c r="K5" s="484"/>
    </row>
    <row r="6" spans="1:11" ht="14.25" x14ac:dyDescent="0.2">
      <c r="A6" s="484"/>
      <c r="B6" s="484"/>
      <c r="C6" s="484"/>
      <c r="D6" s="484"/>
      <c r="E6" s="484"/>
      <c r="F6" s="484"/>
      <c r="G6" s="484"/>
      <c r="H6" s="484"/>
      <c r="I6" s="484"/>
      <c r="J6" s="484"/>
      <c r="K6" s="484"/>
    </row>
    <row r="7" spans="1:11" ht="14.25" x14ac:dyDescent="0.2">
      <c r="A7" s="484" t="s">
        <v>441</v>
      </c>
      <c r="B7" s="484"/>
      <c r="C7" s="484"/>
      <c r="D7" s="484"/>
      <c r="E7" s="484"/>
      <c r="F7" s="484"/>
      <c r="G7" s="484"/>
      <c r="H7" s="487" t="s">
        <v>442</v>
      </c>
      <c r="I7" s="485"/>
      <c r="J7" s="484"/>
      <c r="K7" s="484"/>
    </row>
    <row r="8" spans="1:11" ht="14.25" x14ac:dyDescent="0.2">
      <c r="A8" s="484"/>
      <c r="B8" s="484"/>
      <c r="C8" s="484"/>
      <c r="D8" s="484"/>
      <c r="E8" s="484"/>
      <c r="F8" s="484"/>
      <c r="G8" s="484"/>
      <c r="H8" s="488"/>
      <c r="I8" s="489"/>
      <c r="J8" s="484"/>
      <c r="K8" s="484"/>
    </row>
    <row r="9" spans="1:11" ht="14.25" x14ac:dyDescent="0.2">
      <c r="A9" s="484"/>
      <c r="B9" s="484"/>
      <c r="C9" s="484"/>
      <c r="D9" s="484"/>
      <c r="E9" s="484"/>
      <c r="F9" s="484"/>
      <c r="G9" s="484"/>
      <c r="H9" s="488"/>
      <c r="I9" s="489"/>
      <c r="J9" s="484"/>
      <c r="K9" s="484"/>
    </row>
    <row r="10" spans="1:11" ht="14.25" x14ac:dyDescent="0.2">
      <c r="A10" s="484"/>
      <c r="B10" s="484"/>
      <c r="C10" s="484"/>
      <c r="D10" s="484"/>
      <c r="E10" s="484"/>
      <c r="F10" s="484"/>
      <c r="G10" s="484"/>
      <c r="H10" s="488"/>
      <c r="I10" s="489"/>
      <c r="J10" s="484"/>
      <c r="K10" s="484"/>
    </row>
    <row r="11" spans="1:11" ht="14.25" x14ac:dyDescent="0.2">
      <c r="A11" s="484"/>
      <c r="B11" s="484"/>
      <c r="C11" s="484"/>
      <c r="D11" s="484"/>
      <c r="E11" s="484"/>
      <c r="F11" s="484"/>
      <c r="G11" s="484"/>
      <c r="H11" s="484"/>
      <c r="I11" s="484"/>
      <c r="J11" s="484"/>
      <c r="K11" s="484"/>
    </row>
    <row r="12" spans="1:11" ht="14.25" x14ac:dyDescent="0.2">
      <c r="A12" s="484"/>
      <c r="B12" s="484"/>
      <c r="C12" s="484"/>
      <c r="D12" s="484"/>
      <c r="E12" s="484"/>
      <c r="F12" s="484"/>
      <c r="G12" s="484"/>
      <c r="H12" s="484"/>
      <c r="I12" s="484"/>
      <c r="J12" s="484"/>
      <c r="K12" s="484"/>
    </row>
    <row r="13" spans="1:11" ht="14.25" x14ac:dyDescent="0.2">
      <c r="A13" s="484"/>
      <c r="B13" s="484"/>
      <c r="C13" s="484"/>
      <c r="D13" s="484"/>
      <c r="E13" s="484"/>
      <c r="F13" s="484"/>
      <c r="G13" s="484"/>
      <c r="H13" s="484"/>
      <c r="I13" s="484"/>
      <c r="J13" s="484"/>
      <c r="K13" s="484"/>
    </row>
    <row r="14" spans="1:11" ht="14.25" x14ac:dyDescent="0.2">
      <c r="A14" s="484" t="s">
        <v>443</v>
      </c>
      <c r="B14" s="484"/>
      <c r="C14" s="487">
        <v>27378</v>
      </c>
      <c r="D14" s="485"/>
      <c r="E14" s="484"/>
      <c r="F14" s="484" t="s">
        <v>444</v>
      </c>
      <c r="G14" s="484"/>
      <c r="H14" s="484"/>
      <c r="I14" s="487"/>
      <c r="J14" s="484"/>
      <c r="K14" s="484"/>
    </row>
    <row r="15" spans="1:11" ht="14.25" x14ac:dyDescent="0.2">
      <c r="A15" s="484"/>
      <c r="B15" s="484"/>
      <c r="C15" s="484"/>
      <c r="D15" s="484"/>
      <c r="E15" s="484"/>
      <c r="F15" s="490" t="s">
        <v>445</v>
      </c>
      <c r="G15" s="490"/>
      <c r="H15" s="490"/>
      <c r="I15" s="490"/>
      <c r="J15" s="490"/>
      <c r="K15" s="484"/>
    </row>
    <row r="16" spans="1:11" ht="14.25" x14ac:dyDescent="0.2">
      <c r="A16" s="484" t="s">
        <v>446</v>
      </c>
      <c r="B16" s="484"/>
      <c r="C16" s="487">
        <v>30834</v>
      </c>
      <c r="D16" s="485"/>
      <c r="E16" s="484"/>
      <c r="F16" s="490" t="s">
        <v>447</v>
      </c>
      <c r="G16" s="490"/>
      <c r="H16" s="490"/>
      <c r="I16" s="490"/>
      <c r="J16" s="490"/>
      <c r="K16" s="484"/>
    </row>
    <row r="17" spans="1:11" ht="14.25" x14ac:dyDescent="0.2">
      <c r="A17" s="484"/>
      <c r="B17" s="484"/>
      <c r="C17" s="484"/>
      <c r="D17" s="484"/>
      <c r="E17" s="484"/>
      <c r="F17" s="490" t="s">
        <v>448</v>
      </c>
      <c r="G17" s="490"/>
      <c r="H17" s="490"/>
      <c r="I17" s="490"/>
      <c r="J17" s="490"/>
      <c r="K17" s="484"/>
    </row>
    <row r="18" spans="1:11" ht="14.25" x14ac:dyDescent="0.2">
      <c r="A18" s="484"/>
      <c r="B18" s="484"/>
      <c r="C18" s="484"/>
      <c r="D18" s="484"/>
      <c r="E18" s="484"/>
      <c r="F18" s="490" t="s">
        <v>449</v>
      </c>
      <c r="G18" s="490"/>
      <c r="H18" s="490"/>
      <c r="I18" s="490"/>
      <c r="J18" s="490"/>
      <c r="K18" s="484"/>
    </row>
    <row r="19" spans="1:11" ht="14.25" x14ac:dyDescent="0.2">
      <c r="A19" s="484"/>
      <c r="B19" s="484"/>
      <c r="C19" s="484"/>
      <c r="D19" s="484"/>
      <c r="E19" s="484"/>
      <c r="F19" s="484"/>
      <c r="G19" s="484"/>
      <c r="H19" s="484"/>
      <c r="I19" s="484"/>
      <c r="J19" s="484"/>
      <c r="K19" s="484"/>
    </row>
    <row r="20" spans="1:11" ht="14.25" x14ac:dyDescent="0.2">
      <c r="A20" s="491" t="s">
        <v>450</v>
      </c>
      <c r="B20" s="491"/>
      <c r="C20" s="491"/>
      <c r="D20" s="491"/>
      <c r="E20" s="492">
        <v>2409.7199999999998</v>
      </c>
      <c r="F20" s="484"/>
      <c r="G20" s="484"/>
      <c r="H20" s="484"/>
      <c r="I20" s="484"/>
      <c r="J20" s="484"/>
      <c r="K20" s="484"/>
    </row>
    <row r="21" spans="1:11" ht="14.25" x14ac:dyDescent="0.2">
      <c r="A21" s="491" t="s">
        <v>451</v>
      </c>
      <c r="B21" s="491"/>
      <c r="C21" s="491"/>
      <c r="D21" s="491"/>
      <c r="E21" s="492">
        <v>422.5</v>
      </c>
      <c r="F21" s="491"/>
      <c r="G21" s="484"/>
      <c r="H21" s="484"/>
      <c r="I21" s="484"/>
      <c r="J21" s="484"/>
      <c r="K21" s="484"/>
    </row>
    <row r="22" spans="1:11" ht="14.25" x14ac:dyDescent="0.2">
      <c r="A22" s="491"/>
      <c r="B22" s="491"/>
      <c r="C22" s="491"/>
      <c r="D22" s="491"/>
      <c r="E22" s="493"/>
      <c r="F22" s="491"/>
      <c r="G22" s="484"/>
      <c r="H22" s="484"/>
      <c r="I22" s="484"/>
      <c r="J22" s="484"/>
      <c r="K22" s="484"/>
    </row>
    <row r="23" spans="1:11" ht="14.25" x14ac:dyDescent="0.2">
      <c r="A23" s="491" t="s">
        <v>452</v>
      </c>
      <c r="B23" s="491"/>
      <c r="C23" s="491"/>
      <c r="D23" s="491"/>
      <c r="E23" s="493">
        <f>E20-E21</f>
        <v>1987.2199999999998</v>
      </c>
      <c r="F23" s="491"/>
      <c r="G23" s="484"/>
      <c r="H23" s="484"/>
      <c r="I23" s="484"/>
      <c r="J23" s="484"/>
      <c r="K23" s="484"/>
    </row>
    <row r="24" spans="1:11" ht="14.25" x14ac:dyDescent="0.2">
      <c r="A24" s="491" t="s">
        <v>453</v>
      </c>
      <c r="B24" s="491"/>
      <c r="C24" s="494">
        <v>0.5</v>
      </c>
      <c r="D24" s="491"/>
      <c r="E24" s="495">
        <f>SUM(E23*C24)</f>
        <v>993.6099999999999</v>
      </c>
      <c r="F24" s="491"/>
      <c r="G24" s="484"/>
      <c r="H24" s="484"/>
      <c r="I24" s="484"/>
      <c r="J24" s="484"/>
      <c r="K24" s="484"/>
    </row>
    <row r="25" spans="1:11" ht="14.25" x14ac:dyDescent="0.2">
      <c r="F25" s="491"/>
      <c r="G25" s="484"/>
      <c r="H25" s="484"/>
      <c r="I25" s="484"/>
      <c r="J25" s="484"/>
      <c r="K25" s="484"/>
    </row>
    <row r="26" spans="1:11" ht="14.25" x14ac:dyDescent="0.2">
      <c r="A26" s="496" t="s">
        <v>454</v>
      </c>
      <c r="B26" s="511">
        <f>IF(C16&gt;36053,"",IF(AND(MONTH(C16)&lt;"6",YEAR(C16)=1998),YEAR(C16),IF(MONTH(C16)&lt;"5",YEAR(C16)+1,"")))</f>
        <v>1985</v>
      </c>
      <c r="C26" s="497"/>
      <c r="D26" s="498" t="s">
        <v>455</v>
      </c>
      <c r="E26" s="499">
        <f>IF(B26=1981,0.055,IF(B26=1982,0.0845,IF(B26=1983,0.1017,IF(B26=1984,0.093807,IF(B26=1985,0.12604006,IF(B26=1986,0.08076508,IF(B26=1987,0.06066944,IF(B26=1988,0.06668109,IF(B26=1989,0.08438409,IF(B26=1990,0.08780206,IF(B26=1991,0.10655716,IF(B26=1992,0.1269022,IF(B26=1993,0.13044565,IF(B26=1994,0.0952,IF(B26=1995,0.07845,IF(B26=1996,0.04089,IF(B26=1997,0.06913,IF(B26=1998,0.0873744,""))))))))))))))))))</f>
        <v>0.12604006000000001</v>
      </c>
      <c r="F26" s="491"/>
      <c r="G26" s="484"/>
      <c r="H26" s="484"/>
      <c r="I26" s="484"/>
      <c r="J26" s="484"/>
      <c r="K26" s="484"/>
    </row>
    <row r="27" spans="1:11" ht="14.25" x14ac:dyDescent="0.2">
      <c r="A27" s="500"/>
      <c r="B27" s="501"/>
      <c r="C27" s="501"/>
      <c r="D27" s="501"/>
      <c r="E27" s="502">
        <f>SUM(E24*E26)</f>
        <v>125.23466401659999</v>
      </c>
      <c r="F27" s="491"/>
      <c r="G27" s="484" t="s">
        <v>456</v>
      </c>
      <c r="H27" s="484"/>
      <c r="I27" s="484"/>
      <c r="J27" s="484"/>
      <c r="K27" s="484"/>
    </row>
    <row r="28" spans="1:11" ht="14.25" x14ac:dyDescent="0.2">
      <c r="A28" s="503"/>
      <c r="B28" s="504"/>
      <c r="C28" s="505" t="s">
        <v>457</v>
      </c>
      <c r="D28" s="504"/>
      <c r="E28" s="506">
        <f>SUM(E24+E27)</f>
        <v>1118.8446640165998</v>
      </c>
      <c r="F28" s="491"/>
      <c r="G28" s="484"/>
      <c r="H28" s="484"/>
      <c r="I28" s="484"/>
      <c r="J28" s="484"/>
      <c r="K28" s="484"/>
    </row>
    <row r="29" spans="1:11" ht="14.25" x14ac:dyDescent="0.2">
      <c r="A29" s="507"/>
      <c r="B29" s="507"/>
      <c r="C29" s="507"/>
      <c r="D29" s="507"/>
      <c r="E29" s="492"/>
      <c r="F29" s="491"/>
      <c r="G29" s="485"/>
      <c r="H29" s="485"/>
      <c r="I29" s="485"/>
      <c r="J29" s="484"/>
      <c r="K29" s="484"/>
    </row>
    <row r="30" spans="1:11" ht="14.25" x14ac:dyDescent="0.2">
      <c r="A30" s="496" t="s">
        <v>454</v>
      </c>
      <c r="B30" s="511">
        <f>IF(B26&gt;1997,"",B26+1)</f>
        <v>1986</v>
      </c>
      <c r="C30" s="497"/>
      <c r="D30" s="498" t="s">
        <v>455</v>
      </c>
      <c r="E30" s="499">
        <f>IF(B30=1981,0.055,IF(B30=1982,0.0845,IF(B30=1983,0.1017,IF(B30=1984,0.093807,IF(B30=1985,0.12604006,IF(B30=1986,0.08076508,IF(B30=1987,0.06066944,IF(B30=1988,0.06668109,IF(B30=1989,0.08438409,IF(B30=1990,0.08780206,IF(B30=1991,0.10655716,IF(B30=1992,0.1269022,IF(B30=1993,0.13044565,IF(B30=1994,0.0952,IF(B30=1995,0.07845,IF(B30=1996,0.04089,IF(B30=1997,0.06913,IF(B30=1998,0.0873744,""))))))))))))))))))</f>
        <v>8.0765080000000003E-2</v>
      </c>
      <c r="F30" s="491"/>
      <c r="G30" s="484"/>
      <c r="H30" s="484"/>
      <c r="I30" s="484"/>
      <c r="J30" s="484"/>
      <c r="K30" s="484"/>
    </row>
    <row r="31" spans="1:11" ht="14.25" x14ac:dyDescent="0.2">
      <c r="A31" s="500"/>
      <c r="B31" s="501"/>
      <c r="C31" s="501"/>
      <c r="D31" s="501"/>
      <c r="E31" s="502">
        <f>SUM(E28*E30)</f>
        <v>90.36357879687381</v>
      </c>
      <c r="F31" s="491"/>
      <c r="G31" s="484" t="s">
        <v>458</v>
      </c>
      <c r="H31" s="487">
        <f ca="1">TODAY()</f>
        <v>46164</v>
      </c>
      <c r="I31" s="485"/>
      <c r="J31" s="484"/>
      <c r="K31" s="484"/>
    </row>
    <row r="32" spans="1:11" ht="14.25" x14ac:dyDescent="0.2">
      <c r="A32" s="503"/>
      <c r="B32" s="504"/>
      <c r="C32" s="505" t="s">
        <v>457</v>
      </c>
      <c r="D32" s="504"/>
      <c r="E32" s="508">
        <f>SUM(E28+E31)</f>
        <v>1209.2082428134736</v>
      </c>
      <c r="F32" s="484"/>
      <c r="G32" s="484"/>
      <c r="H32" s="484"/>
      <c r="I32" s="484"/>
      <c r="J32" s="484"/>
      <c r="K32" s="484"/>
    </row>
    <row r="33" spans="1:11" ht="14.25" x14ac:dyDescent="0.2">
      <c r="A33" s="509"/>
      <c r="B33" s="509"/>
      <c r="C33" s="509"/>
      <c r="D33" s="509"/>
      <c r="E33" s="510"/>
      <c r="F33" s="484"/>
      <c r="G33" s="484" t="s">
        <v>459</v>
      </c>
      <c r="H33" s="484"/>
      <c r="I33" s="484"/>
      <c r="J33" s="484"/>
      <c r="K33" s="484"/>
    </row>
    <row r="34" spans="1:11" ht="14.25" x14ac:dyDescent="0.2">
      <c r="A34" s="496" t="s">
        <v>454</v>
      </c>
      <c r="B34" s="511">
        <f>IF(B30&gt;1997,"",B30+1)</f>
        <v>1987</v>
      </c>
      <c r="C34" s="497"/>
      <c r="D34" s="498" t="s">
        <v>455</v>
      </c>
      <c r="E34" s="499">
        <f>IF(B34=1981,0.055,IF(B34=1982,0.0845,IF(B34=1983,0.1017,IF(B34=1984,0.093807,IF(B34=1985,0.12604006,IF(B34=1986,0.08076508,IF(B34=1987,0.06066944,IF(B34=1988,0.06668109,IF(B34=1989,0.08438409,IF(B34=1990,0.08780206,IF(B34=1991,0.10655716,IF(B34=1992,0.1269022,IF(B34=1993,0.13044565,IF(B34=1994,0.0952,IF(B34=1995,0.07845,IF(B34=1996,0.04089,IF(B34=1997,0.06913,IF(B34=1998,0.0873744,""))))))))))))))))))</f>
        <v>6.0669439999999998E-2</v>
      </c>
      <c r="F34" s="484"/>
      <c r="G34" s="484"/>
      <c r="H34" s="484"/>
      <c r="I34" s="484"/>
      <c r="J34" s="484"/>
      <c r="K34" s="484"/>
    </row>
    <row r="35" spans="1:11" ht="14.25" x14ac:dyDescent="0.2">
      <c r="A35" s="500"/>
      <c r="B35" s="501"/>
      <c r="C35" s="501"/>
      <c r="D35" s="501"/>
      <c r="E35" s="502">
        <f>SUM(E32*E34)</f>
        <v>73.361986934877464</v>
      </c>
      <c r="F35" s="484"/>
      <c r="G35" s="485"/>
      <c r="H35" s="485"/>
      <c r="I35" s="485"/>
      <c r="J35" s="484"/>
      <c r="K35" s="484"/>
    </row>
    <row r="36" spans="1:11" ht="14.25" x14ac:dyDescent="0.2">
      <c r="A36" s="503"/>
      <c r="B36" s="504"/>
      <c r="C36" s="505" t="s">
        <v>457</v>
      </c>
      <c r="D36" s="504"/>
      <c r="E36" s="508">
        <f>SUM(E32+E35)</f>
        <v>1282.570229748351</v>
      </c>
      <c r="F36" s="484"/>
      <c r="G36" s="484"/>
      <c r="H36" s="484"/>
      <c r="I36" s="484"/>
      <c r="J36" s="484"/>
      <c r="K36" s="484"/>
    </row>
    <row r="37" spans="1:11" ht="14.25" x14ac:dyDescent="0.2">
      <c r="A37" s="509"/>
      <c r="B37" s="509"/>
      <c r="C37" s="267"/>
      <c r="D37" s="267"/>
      <c r="E37" s="267"/>
      <c r="F37" s="484"/>
      <c r="G37" s="484" t="s">
        <v>460</v>
      </c>
      <c r="H37" s="485"/>
      <c r="I37" s="485"/>
      <c r="J37" s="484"/>
      <c r="K37" s="484"/>
    </row>
    <row r="38" spans="1:11" ht="14.25" x14ac:dyDescent="0.2">
      <c r="A38" s="496" t="s">
        <v>454</v>
      </c>
      <c r="B38" s="511">
        <f>IF(B34&gt;1997,"",B34+1)</f>
        <v>1988</v>
      </c>
      <c r="C38" s="497"/>
      <c r="D38" s="498" t="s">
        <v>455</v>
      </c>
      <c r="E38" s="499">
        <f>IF(B38=1981,0.055,IF(B38=1982,0.0845,IF(B38=1983,0.1017,IF(B38=1984,0.093807,IF(B38=1985,0.12604006,IF(B38=1986,0.08076508,IF(B38=1987,0.06066944,IF(B38=1988,0.06668109,IF(B38=1989,0.08438409,IF(B38=1990,0.08780206,IF(B38=1991,0.10655716,IF(B38=1992,0.1269022,IF(B38=1993,0.13044565,IF(B38=1994,0.0952,IF(B38=1995,0.07845,IF(B38=1996,0.04089,IF(B38=1997,0.06913,IF(B38=1998,0.0873744,""))))))))))))))))))</f>
        <v>6.6681089999999998E-2</v>
      </c>
      <c r="F38" s="484"/>
      <c r="G38" s="484"/>
      <c r="H38" s="484"/>
      <c r="I38" s="484"/>
      <c r="J38" s="484"/>
      <c r="K38" s="484"/>
    </row>
    <row r="39" spans="1:11" ht="14.25" x14ac:dyDescent="0.2">
      <c r="A39" s="500"/>
      <c r="B39" s="501"/>
      <c r="C39" s="501"/>
      <c r="D39" s="501"/>
      <c r="E39" s="502">
        <f>SUM(E36*E38)</f>
        <v>85.523180921170464</v>
      </c>
      <c r="F39" s="484"/>
      <c r="G39" s="484"/>
      <c r="H39" s="484"/>
      <c r="I39" s="484"/>
      <c r="J39" s="484"/>
      <c r="K39" s="484"/>
    </row>
    <row r="40" spans="1:11" ht="14.25" x14ac:dyDescent="0.2">
      <c r="A40" s="503"/>
      <c r="B40" s="504"/>
      <c r="C40" s="505" t="s">
        <v>457</v>
      </c>
      <c r="D40" s="504"/>
      <c r="E40" s="508">
        <f>SUM(E36+E39)</f>
        <v>1368.0934106695215</v>
      </c>
      <c r="F40" s="484"/>
      <c r="G40" s="484"/>
      <c r="H40" s="484"/>
      <c r="I40" s="484"/>
      <c r="J40" s="484"/>
      <c r="K40" s="484"/>
    </row>
    <row r="41" spans="1:11" ht="14.25" x14ac:dyDescent="0.2">
      <c r="A41" s="489"/>
      <c r="B41" s="489"/>
      <c r="C41" s="267"/>
      <c r="D41" s="267"/>
      <c r="E41" s="267"/>
      <c r="F41" s="484"/>
      <c r="G41" s="484"/>
      <c r="H41" s="484"/>
      <c r="I41" s="484"/>
      <c r="J41" s="484"/>
      <c r="K41" s="484"/>
    </row>
    <row r="42" spans="1:11" ht="14.25" x14ac:dyDescent="0.2">
      <c r="A42" s="496" t="s">
        <v>454</v>
      </c>
      <c r="B42" s="511">
        <f>IF(B38&gt;1997,"",B38+1)</f>
        <v>1989</v>
      </c>
      <c r="C42" s="497"/>
      <c r="D42" s="498" t="s">
        <v>455</v>
      </c>
      <c r="E42" s="499">
        <f>IF(B42=1981,0.055,IF(B42=1982,0.0845,IF(B42=1983,0.1017,IF(B42=1984,0.093807,IF(B42=1985,0.12604006,IF(B42=1986,0.08076508,IF(B42=1987,0.06066944,IF(B42=1988,0.06668109,IF(B42=1989,0.08438409,IF(B42=1990,0.08780206,IF(B42=1991,0.10655716,IF(B42=1992,0.1269022,IF(B42=1993,0.13044565,IF(B42=1994,0.0952,IF(B42=1995,0.07845,IF(B42=1996,0.04089,IF(B42=1997,0.06913,IF(B42=1998,0.0873744,""))))))))))))))))))</f>
        <v>8.4384089999999995E-2</v>
      </c>
      <c r="F42" s="484"/>
      <c r="G42" s="484"/>
      <c r="H42" s="484"/>
      <c r="I42" s="484"/>
      <c r="J42" s="484"/>
      <c r="K42" s="484"/>
    </row>
    <row r="43" spans="1:11" ht="14.25" x14ac:dyDescent="0.2">
      <c r="A43" s="500"/>
      <c r="B43" s="501"/>
      <c r="C43" s="501"/>
      <c r="D43" s="501"/>
      <c r="E43" s="502">
        <f>SUM(E40*E42)</f>
        <v>115.44531749434385</v>
      </c>
      <c r="F43" s="484"/>
      <c r="G43" s="484"/>
      <c r="H43" s="484"/>
      <c r="I43" s="484"/>
      <c r="J43" s="484"/>
      <c r="K43" s="484"/>
    </row>
    <row r="44" spans="1:11" ht="14.25" x14ac:dyDescent="0.2">
      <c r="A44" s="503"/>
      <c r="B44" s="504"/>
      <c r="C44" s="505" t="s">
        <v>457</v>
      </c>
      <c r="D44" s="504"/>
      <c r="E44" s="508">
        <f>SUM(E40+E43)</f>
        <v>1483.5387281638655</v>
      </c>
      <c r="F44" s="484"/>
      <c r="G44" s="484"/>
      <c r="H44" s="484"/>
      <c r="I44" s="484"/>
      <c r="J44" s="484"/>
      <c r="K44" s="484"/>
    </row>
    <row r="45" spans="1:11" ht="14.25" x14ac:dyDescent="0.2">
      <c r="A45" s="489"/>
      <c r="B45" s="489"/>
      <c r="C45" s="489"/>
      <c r="D45" s="489"/>
      <c r="E45" s="489"/>
      <c r="F45" s="484"/>
      <c r="G45" s="484"/>
      <c r="H45" s="484"/>
      <c r="I45" s="484"/>
      <c r="J45" s="484"/>
      <c r="K45" s="484"/>
    </row>
    <row r="46" spans="1:11" x14ac:dyDescent="0.2">
      <c r="A46" s="496" t="s">
        <v>454</v>
      </c>
      <c r="B46" s="511">
        <f>IF(B42&gt;1997,"",B42+1)</f>
        <v>1990</v>
      </c>
      <c r="C46" s="497"/>
      <c r="D46" s="498" t="s">
        <v>455</v>
      </c>
      <c r="E46" s="499">
        <f>IF(B46=1981,0.055,IF(B46=1982,0.0845,IF(B46=1983,0.1017,IF(B46=1984,0.093807,IF(B46=1985,0.12604006,IF(B46=1986,0.08076508,IF(B46=1987,0.06066944,IF(B46=1988,0.06668109,IF(B46=1989,0.08438409,IF(B46=1990,0.08780206,IF(B46=1991,0.10655716,IF(B46=1992,0.1269022,IF(B46=1993,0.13044565,IF(B46=1994,0.0952,IF(B46=1995,0.07845,IF(B46=1996,0.04089,IF(B46=1997,0.06913,IF(B46=1998,0.0873744,""))))))))))))))))))</f>
        <v>8.7802060000000001E-2</v>
      </c>
    </row>
    <row r="47" spans="1:11" x14ac:dyDescent="0.2">
      <c r="A47" s="500"/>
      <c r="B47" s="501"/>
      <c r="C47" s="501"/>
      <c r="D47" s="501"/>
      <c r="E47" s="502">
        <f>SUM(E44*E46)</f>
        <v>130.25775642256741</v>
      </c>
    </row>
    <row r="48" spans="1:11" ht="14.25" x14ac:dyDescent="0.2">
      <c r="A48" s="503"/>
      <c r="B48" s="504"/>
      <c r="C48" s="505" t="s">
        <v>457</v>
      </c>
      <c r="D48" s="504"/>
      <c r="E48" s="508">
        <f>SUM(E44+E47)</f>
        <v>1613.7964845864328</v>
      </c>
    </row>
    <row r="49" spans="1:5" x14ac:dyDescent="0.2">
      <c r="A49" s="267"/>
      <c r="B49" s="267"/>
      <c r="C49" s="267"/>
      <c r="D49" s="267"/>
      <c r="E49" s="267"/>
    </row>
    <row r="50" spans="1:5" x14ac:dyDescent="0.2">
      <c r="A50" s="496" t="s">
        <v>454</v>
      </c>
      <c r="B50" s="511">
        <f>IF(B46&gt;1997,"",B46+1)</f>
        <v>1991</v>
      </c>
      <c r="C50" s="497"/>
      <c r="D50" s="498" t="s">
        <v>455</v>
      </c>
      <c r="E50" s="499">
        <f>IF(B50=1981,0.055,IF(B50=1982,0.0845,IF(B50=1983,0.1017,IF(B50=1984,0.093807,IF(B50=1985,0.12604006,IF(B50=1986,0.08076508,IF(B50=1987,0.06066944,IF(B50=1988,0.06668109,IF(B50=1989,0.08438409,IF(B50=1990,0.08780206,IF(B50=1991,0.10655716,IF(B50=1992,0.1269022,IF(B50=1993,0.13044565,IF(B50=1994,0.0952,IF(B50=1995,0.07845,IF(B50=1996,0.04089,IF(B50=1997,0.06913,IF(B50=1998,0.0873744,""))))))))))))))))))</f>
        <v>0.10655716</v>
      </c>
    </row>
    <row r="51" spans="1:5" x14ac:dyDescent="0.2">
      <c r="A51" s="500"/>
      <c r="B51" s="501"/>
      <c r="C51" s="501"/>
      <c r="D51" s="501"/>
      <c r="E51" s="502">
        <f>SUM(E48*E50)</f>
        <v>171.96157021551406</v>
      </c>
    </row>
    <row r="52" spans="1:5" ht="14.25" x14ac:dyDescent="0.2">
      <c r="A52" s="503"/>
      <c r="B52" s="504"/>
      <c r="C52" s="505" t="s">
        <v>457</v>
      </c>
      <c r="D52" s="504"/>
      <c r="E52" s="508">
        <f>SUM(E48+E51)</f>
        <v>1785.7580548019469</v>
      </c>
    </row>
    <row r="53" spans="1:5" x14ac:dyDescent="0.2">
      <c r="A53" s="267"/>
      <c r="B53" s="267"/>
      <c r="C53" s="267"/>
      <c r="D53" s="267"/>
      <c r="E53" s="267"/>
    </row>
    <row r="54" spans="1:5" x14ac:dyDescent="0.2">
      <c r="A54" s="496" t="s">
        <v>454</v>
      </c>
      <c r="B54" s="511">
        <f>IF(B50&gt;1997,"",B50+1)</f>
        <v>1992</v>
      </c>
      <c r="C54" s="497"/>
      <c r="D54" s="498" t="s">
        <v>455</v>
      </c>
      <c r="E54" s="499">
        <f>IF(B54=1981,0.055,IF(B54=1982,0.0845,IF(B54=1983,0.1017,IF(B54=1984,0.093807,IF(B54=1985,0.12604006,IF(B54=1986,0.08076508,IF(B54=1987,0.06066944,IF(B54=1988,0.06668109,IF(B54=1989,0.08438409,IF(B54=1990,0.08780206,IF(B54=1991,0.10655716,IF(B54=1992,0.1269022,IF(B54=1993,0.13044565,IF(B54=1994,0.0952,IF(B54=1995,0.07845,IF(B54=1996,0.04089,IF(B54=1997,0.06913,IF(B54=1998,0.0873744,""))))))))))))))))))</f>
        <v>0.12690219999999999</v>
      </c>
    </row>
    <row r="55" spans="1:5" x14ac:dyDescent="0.2">
      <c r="A55" s="500"/>
      <c r="B55" s="501"/>
      <c r="C55" s="501"/>
      <c r="D55" s="501"/>
      <c r="E55" s="502">
        <f>SUM(E52*E54)</f>
        <v>226.6166258220876</v>
      </c>
    </row>
    <row r="56" spans="1:5" ht="14.25" x14ac:dyDescent="0.2">
      <c r="A56" s="503"/>
      <c r="B56" s="504"/>
      <c r="C56" s="505" t="s">
        <v>457</v>
      </c>
      <c r="D56" s="504"/>
      <c r="E56" s="508">
        <f>SUM(E52+E55)</f>
        <v>2012.3746806240345</v>
      </c>
    </row>
    <row r="57" spans="1:5" x14ac:dyDescent="0.2">
      <c r="A57" s="267"/>
      <c r="B57" s="267"/>
      <c r="C57" s="267"/>
      <c r="D57" s="267"/>
      <c r="E57" s="267"/>
    </row>
    <row r="58" spans="1:5" x14ac:dyDescent="0.2">
      <c r="A58" s="496" t="s">
        <v>454</v>
      </c>
      <c r="B58" s="511">
        <f>IF(B54&gt;1997,"",B54+1)</f>
        <v>1993</v>
      </c>
      <c r="C58" s="497"/>
      <c r="D58" s="498" t="s">
        <v>455</v>
      </c>
      <c r="E58" s="499">
        <f>IF(B58=1981,0.055,IF(B58=1982,0.0845,IF(B58=1983,0.1017,IF(B58=1984,0.093807,IF(B58=1985,0.12604006,IF(B58=1986,0.08076508,IF(B58=1987,0.06066944,IF(B58=1988,0.06668109,IF(B58=1989,0.08438409,IF(B58=1990,0.08780206,IF(B58=1991,0.10655716,IF(B58=1992,0.1269022,IF(B58=1993,0.13044565,IF(B58=1994,0.0952,IF(B58=1995,0.07845,IF(B58=1996,0.04089,IF(B58=1997,0.06913,IF(B58=1998,0.0873744,""))))))))))))))))))</f>
        <v>0.13044565</v>
      </c>
    </row>
    <row r="59" spans="1:5" x14ac:dyDescent="0.2">
      <c r="A59" s="500"/>
      <c r="B59" s="501"/>
      <c r="C59" s="501"/>
      <c r="D59" s="501"/>
      <c r="E59" s="502">
        <f>SUM(E56*E58)</f>
        <v>262.50552325754455</v>
      </c>
    </row>
    <row r="60" spans="1:5" ht="14.25" x14ac:dyDescent="0.2">
      <c r="A60" s="503"/>
      <c r="B60" s="504"/>
      <c r="C60" s="505" t="s">
        <v>457</v>
      </c>
      <c r="D60" s="504"/>
      <c r="E60" s="508">
        <f>SUM(E56+E59)</f>
        <v>2274.8802038815788</v>
      </c>
    </row>
    <row r="61" spans="1:5" x14ac:dyDescent="0.2">
      <c r="A61" s="267"/>
      <c r="B61" s="267"/>
      <c r="C61" s="267"/>
      <c r="D61" s="267"/>
      <c r="E61" s="267"/>
    </row>
    <row r="62" spans="1:5" x14ac:dyDescent="0.2">
      <c r="A62" s="496" t="s">
        <v>454</v>
      </c>
      <c r="B62" s="511">
        <f>IF(B58&gt;1997,"",B58+1)</f>
        <v>1994</v>
      </c>
      <c r="C62" s="497"/>
      <c r="D62" s="498" t="s">
        <v>455</v>
      </c>
      <c r="E62" s="499">
        <f>IF(B62=1981,0.055,IF(B62=1982,0.0845,IF(B62=1983,0.1017,IF(B62=1984,0.093807,IF(B62=1985,0.12604006,IF(B62=1986,0.08076508,IF(B62=1987,0.06066944,IF(B62=1988,0.06668109,IF(B62=1989,0.08438409,IF(B62=1990,0.08780206,IF(B62=1991,0.10655716,IF(B62=1992,0.1269022,IF(B62=1993,0.13044565,IF(B62=1994,0.0952,IF(B62=1995,0.07845,IF(B62=1996,0.04089,IF(B62=1997,0.06913,IF(B62=1998,0.0873744,""))))))))))))))))))</f>
        <v>9.5200000000000007E-2</v>
      </c>
    </row>
    <row r="63" spans="1:5" x14ac:dyDescent="0.2">
      <c r="A63" s="500"/>
      <c r="B63" s="501"/>
      <c r="C63" s="501"/>
      <c r="D63" s="501"/>
      <c r="E63" s="502">
        <f>SUM(E60*E62)</f>
        <v>216.56859540952632</v>
      </c>
    </row>
    <row r="64" spans="1:5" ht="14.25" x14ac:dyDescent="0.2">
      <c r="A64" s="503"/>
      <c r="B64" s="504"/>
      <c r="C64" s="505" t="s">
        <v>457</v>
      </c>
      <c r="D64" s="504"/>
      <c r="E64" s="506">
        <f>SUM(E60+E63)</f>
        <v>2491.4487992911054</v>
      </c>
    </row>
    <row r="65" spans="1:5" x14ac:dyDescent="0.2">
      <c r="A65" s="507"/>
      <c r="B65" s="507"/>
      <c r="C65" s="507"/>
      <c r="D65" s="507"/>
      <c r="E65" s="492"/>
    </row>
    <row r="66" spans="1:5" x14ac:dyDescent="0.2">
      <c r="A66" s="496" t="s">
        <v>454</v>
      </c>
      <c r="B66" s="511">
        <f>IF(B62&gt;1997,"",B62+1)</f>
        <v>1995</v>
      </c>
      <c r="C66" s="497"/>
      <c r="D66" s="498" t="s">
        <v>455</v>
      </c>
      <c r="E66" s="499">
        <f>IF(B66=1981,0.055,IF(B66=1982,0.0845,IF(B66=1983,0.1017,IF(B66=1984,0.093807,IF(B66=1985,0.12604006,IF(B66=1986,0.08076508,IF(B66=1987,0.06066944,IF(B66=1988,0.06668109,IF(B66=1989,0.08438409,IF(B66=1990,0.08780206,IF(B66=1991,0.10655716,IF(B66=1992,0.1269022,IF(B66=1993,0.13044565,IF(B66=1994,0.0952,IF(B66=1995,0.07845,IF(B66=1996,0.04089,IF(B66=1997,0.06913,IF(B66=1998,0.0873744,""))))))))))))))))))</f>
        <v>7.8450000000000006E-2</v>
      </c>
    </row>
    <row r="67" spans="1:5" x14ac:dyDescent="0.2">
      <c r="A67" s="500"/>
      <c r="B67" s="501"/>
      <c r="C67" s="501"/>
      <c r="D67" s="501"/>
      <c r="E67" s="502">
        <f>SUM(E64*E66)</f>
        <v>195.45415830438722</v>
      </c>
    </row>
    <row r="68" spans="1:5" ht="14.25" x14ac:dyDescent="0.2">
      <c r="A68" s="503"/>
      <c r="B68" s="504"/>
      <c r="C68" s="505" t="s">
        <v>457</v>
      </c>
      <c r="D68" s="504"/>
      <c r="E68" s="508">
        <f>SUM(E64+E67)</f>
        <v>2686.9029575954928</v>
      </c>
    </row>
    <row r="69" spans="1:5" ht="14.25" x14ac:dyDescent="0.2">
      <c r="A69" s="509"/>
      <c r="B69" s="509"/>
      <c r="C69" s="509"/>
      <c r="D69" s="509"/>
      <c r="E69" s="510"/>
    </row>
    <row r="70" spans="1:5" x14ac:dyDescent="0.2">
      <c r="A70" s="496" t="s">
        <v>454</v>
      </c>
      <c r="B70" s="511">
        <f>IF(B66&gt;1997,"",B66+1)</f>
        <v>1996</v>
      </c>
      <c r="C70" s="497"/>
      <c r="D70" s="498" t="s">
        <v>455</v>
      </c>
      <c r="E70" s="499">
        <f>IF(B70=1981,0.055,IF(B70=1982,0.0845,IF(B70=1983,0.1017,IF(B70=1984,0.093807,IF(B70=1985,0.12604006,IF(B70=1986,0.08076508,IF(B70=1987,0.06066944,IF(B70=1988,0.06668109,IF(B70=1989,0.08438409,IF(B70=1990,0.08780206,IF(B70=1991,0.10655716,IF(B70=1992,0.1269022,IF(B70=1993,0.13044565,IF(B70=1994,0.0952,IF(B70=1995,0.07845,IF(B70=1996,0.04089,IF(B70=1997,0.06913,IF(B70=1998,0.0873744,""))))))))))))))))))</f>
        <v>4.0890000000000003E-2</v>
      </c>
    </row>
    <row r="71" spans="1:5" x14ac:dyDescent="0.2">
      <c r="A71" s="500"/>
      <c r="B71" s="501"/>
      <c r="C71" s="501"/>
      <c r="D71" s="501"/>
      <c r="E71" s="502">
        <f>SUM(E68*E70)</f>
        <v>109.86746193607971</v>
      </c>
    </row>
    <row r="72" spans="1:5" ht="14.25" x14ac:dyDescent="0.2">
      <c r="A72" s="503"/>
      <c r="B72" s="504"/>
      <c r="C72" s="505" t="s">
        <v>457</v>
      </c>
      <c r="D72" s="504"/>
      <c r="E72" s="508">
        <f>SUM(E68+E71)</f>
        <v>2796.7704195315723</v>
      </c>
    </row>
    <row r="73" spans="1:5" ht="14.25" x14ac:dyDescent="0.2">
      <c r="A73" s="509"/>
      <c r="B73" s="509"/>
      <c r="C73" s="267"/>
      <c r="D73" s="267"/>
      <c r="E73" s="267"/>
    </row>
    <row r="74" spans="1:5" x14ac:dyDescent="0.2">
      <c r="A74" s="496" t="s">
        <v>454</v>
      </c>
      <c r="B74" s="511">
        <f>IF(B70&gt;1997,"",B70+1)</f>
        <v>1997</v>
      </c>
      <c r="C74" s="497"/>
      <c r="D74" s="498" t="s">
        <v>455</v>
      </c>
      <c r="E74" s="499">
        <f>IF(B74=1981,0.055,IF(B74=1982,0.0845,IF(B74=1983,0.1017,IF(B74=1984,0.093807,IF(B74=1985,0.12604006,IF(B74=1986,0.08076508,IF(B74=1987,0.06066944,IF(B74=1988,0.06668109,IF(B74=1989,0.08438409,IF(B74=1990,0.08780206,IF(B74=1991,0.10655716,IF(B74=1992,0.1269022,IF(B74=1993,0.13044565,IF(B74=1994,0.0952,IF(B74=1995,0.07845,IF(B74=1996,0.04089,IF(B74=1997,0.06913,IF(B74=1998,0.0873744,""))))))))))))))))))</f>
        <v>6.9129999999999997E-2</v>
      </c>
    </row>
    <row r="75" spans="1:5" x14ac:dyDescent="0.2">
      <c r="A75" s="500"/>
      <c r="B75" s="501"/>
      <c r="C75" s="501"/>
      <c r="D75" s="501"/>
      <c r="E75" s="502">
        <f>SUM(E72*E74)</f>
        <v>193.34073910221758</v>
      </c>
    </row>
    <row r="76" spans="1:5" ht="14.25" x14ac:dyDescent="0.2">
      <c r="A76" s="503"/>
      <c r="B76" s="504"/>
      <c r="C76" s="505" t="s">
        <v>457</v>
      </c>
      <c r="D76" s="504"/>
      <c r="E76" s="508">
        <f>SUM(E72+E75)</f>
        <v>2990.1111586337897</v>
      </c>
    </row>
    <row r="77" spans="1:5" ht="14.25" x14ac:dyDescent="0.2">
      <c r="A77" s="489"/>
      <c r="B77" s="489"/>
      <c r="C77" s="267"/>
      <c r="D77" s="267"/>
      <c r="E77" s="267"/>
    </row>
    <row r="78" spans="1:5" x14ac:dyDescent="0.2">
      <c r="A78" s="496" t="s">
        <v>454</v>
      </c>
      <c r="B78" s="511">
        <f>IF(B74&gt;1997,"",B74+1)</f>
        <v>1998</v>
      </c>
      <c r="C78" s="497"/>
      <c r="D78" s="498" t="s">
        <v>455</v>
      </c>
      <c r="E78" s="499">
        <f>IF(B78=1981,0.055,IF(B78=1982,0.0845,IF(B78=1983,0.1017,IF(B78=1984,0.093807,IF(B78=1985,0.12604006,IF(B78=1986,0.08076508,IF(B78=1987,0.06066944,IF(B78=1988,0.06668109,IF(B78=1989,0.08438409,IF(B78=1990,0.08780206,IF(B78=1991,0.10655716,IF(B78=1992,0.1269022,IF(B78=1993,0.13044565,IF(B78=1994,0.0952,IF(B78=1995,0.07845,IF(B78=1996,0.04089,IF(B78=1997,0.06913,IF(B78=1998,0.0873744,""))))))))))))))))))</f>
        <v>8.7374400000000005E-2</v>
      </c>
    </row>
    <row r="79" spans="1:5" x14ac:dyDescent="0.2">
      <c r="A79" s="500"/>
      <c r="B79" s="501"/>
      <c r="C79" s="501"/>
      <c r="D79" s="501"/>
      <c r="E79" s="502">
        <f>SUM(E76*E78)</f>
        <v>261.25916841893223</v>
      </c>
    </row>
    <row r="80" spans="1:5" ht="14.25" x14ac:dyDescent="0.2">
      <c r="A80" s="503"/>
      <c r="B80" s="504"/>
      <c r="C80" s="505" t="s">
        <v>457</v>
      </c>
      <c r="D80" s="504"/>
      <c r="E80" s="508">
        <f>SUM(E76+E79)</f>
        <v>3251.3703270527221</v>
      </c>
    </row>
    <row r="81" spans="1:5" ht="14.25" x14ac:dyDescent="0.2">
      <c r="A81" s="489"/>
      <c r="B81" s="489"/>
      <c r="C81" s="489"/>
      <c r="D81" s="489"/>
      <c r="E81" s="489"/>
    </row>
    <row r="82" spans="1:5" x14ac:dyDescent="0.2">
      <c r="A82" s="496" t="s">
        <v>454</v>
      </c>
      <c r="B82" s="511" t="str">
        <f>IF(B78&gt;1997,"",B78+1)</f>
        <v/>
      </c>
      <c r="C82" s="497"/>
      <c r="D82" s="498" t="s">
        <v>455</v>
      </c>
      <c r="E82" s="499" t="str">
        <f>IF(B82=1981,0.055,IF(B82=1982,0.0845,IF(B82=1983,0.1017,IF(B82=1984,0.093807,IF(B82=1985,0.12604006,IF(B82=1986,0.08076508,IF(B82=1987,0.06066944,IF(B82=1988,0.06668109,IF(B82=1989,0.08438409,IF(B82=1990,0.08780206,IF(B82=1991,0.10655716,IF(B82=1992,0.1269022,IF(B82=1993,0.13044565,IF(B82=1994,0.0952,IF(B82=1995,0.07845,IF(B82=1996,0.04089,IF(B82=1997,0.06913,IF(B82=1998,0.0873744,""))))))))))))))))))</f>
        <v/>
      </c>
    </row>
    <row r="83" spans="1:5" x14ac:dyDescent="0.2">
      <c r="A83" s="500"/>
      <c r="B83" s="501"/>
      <c r="C83" s="501"/>
      <c r="D83" s="501"/>
      <c r="E83" s="502" t="e">
        <f>SUM(E80*E82)</f>
        <v>#VALUE!</v>
      </c>
    </row>
    <row r="84" spans="1:5" ht="14.25" x14ac:dyDescent="0.2">
      <c r="A84" s="503"/>
      <c r="B84" s="504"/>
      <c r="C84" s="505" t="s">
        <v>457</v>
      </c>
      <c r="D84" s="504"/>
      <c r="E84" s="508" t="e">
        <f>SUM(E80+E83)</f>
        <v>#VALUE!</v>
      </c>
    </row>
    <row r="85" spans="1:5" x14ac:dyDescent="0.2">
      <c r="A85" s="267"/>
      <c r="B85" s="267"/>
      <c r="C85" s="267"/>
      <c r="D85" s="267"/>
      <c r="E85" s="267"/>
    </row>
    <row r="86" spans="1:5" x14ac:dyDescent="0.2">
      <c r="A86" s="496" t="s">
        <v>454</v>
      </c>
      <c r="B86" s="511" t="str">
        <f>IF(B82&gt;1997,"",B82+1)</f>
        <v/>
      </c>
      <c r="C86" s="497"/>
      <c r="D86" s="498" t="s">
        <v>455</v>
      </c>
      <c r="E86" s="499" t="str">
        <f>IF(B86=1981,0.055,IF(B86=1982,0.0845,IF(B86=1983,0.1017,IF(B86=1984,0.093807,IF(B86=1985,0.12604006,IF(B86=1986,0.08076508,IF(B86=1987,0.06066944,IF(B86=1988,0.06668109,IF(B86=1989,0.08438409,IF(B86=1990,0.08780206,IF(B86=1991,0.10655716,IF(B86=1992,0.1269022,IF(B86=1993,0.13044565,IF(B86=1994,0.0952,IF(B86=1995,0.07845,IF(B86=1996,0.04089,IF(B86=1997,0.06913,IF(B86=1998,0.0873744,""))))))))))))))))))</f>
        <v/>
      </c>
    </row>
    <row r="87" spans="1:5" x14ac:dyDescent="0.2">
      <c r="A87" s="500"/>
      <c r="B87" s="501"/>
      <c r="C87" s="501"/>
      <c r="D87" s="501"/>
      <c r="E87" s="502" t="e">
        <f>SUM(E84*E86)</f>
        <v>#VALUE!</v>
      </c>
    </row>
    <row r="88" spans="1:5" ht="14.25" x14ac:dyDescent="0.2">
      <c r="A88" s="503"/>
      <c r="B88" s="504"/>
      <c r="C88" s="505" t="s">
        <v>457</v>
      </c>
      <c r="D88" s="504"/>
      <c r="E88" s="508" t="e">
        <f>SUM(E84+E87)</f>
        <v>#VALUE!</v>
      </c>
    </row>
    <row r="89" spans="1:5" x14ac:dyDescent="0.2">
      <c r="A89" s="267"/>
      <c r="B89" s="267"/>
      <c r="C89" s="267"/>
      <c r="D89" s="267"/>
      <c r="E89" s="267"/>
    </row>
    <row r="90" spans="1:5" x14ac:dyDescent="0.2">
      <c r="A90" s="496" t="s">
        <v>454</v>
      </c>
      <c r="B90" s="511" t="str">
        <f>IF(B86&gt;1997,"",B86+1)</f>
        <v/>
      </c>
      <c r="C90" s="497"/>
      <c r="D90" s="498" t="s">
        <v>455</v>
      </c>
      <c r="E90" s="499" t="str">
        <f>IF(B90=1981,0.055,IF(B90=1982,0.0845,IF(B90=1983,0.1017,IF(B90=1984,0.093807,IF(B90=1985,0.12604006,IF(B90=1986,0.08076508,IF(B90=1987,0.06066944,IF(B90=1988,0.06668109,IF(B90=1989,0.08438409,IF(B90=1990,0.08780206,IF(B90=1991,0.10655716,IF(B90=1992,0.1269022,IF(B90=1993,0.13044565,IF(B90=1994,0.0952,IF(B90=1995,0.07845,IF(B90=1996,0.04089,IF(B90=1997,0.06913,IF(B90=1998,0.0873744,""))))))))))))))))))</f>
        <v/>
      </c>
    </row>
    <row r="91" spans="1:5" x14ac:dyDescent="0.2">
      <c r="A91" s="500"/>
      <c r="B91" s="501"/>
      <c r="C91" s="501"/>
      <c r="D91" s="501"/>
      <c r="E91" s="502" t="e">
        <f>SUM(E88*E90)</f>
        <v>#VALUE!</v>
      </c>
    </row>
    <row r="92" spans="1:5" ht="14.25" x14ac:dyDescent="0.2">
      <c r="A92" s="503"/>
      <c r="B92" s="504"/>
      <c r="C92" s="505" t="s">
        <v>457</v>
      </c>
      <c r="D92" s="504"/>
      <c r="E92" s="508" t="e">
        <f>SUM(E88+E91)</f>
        <v>#VALUE!</v>
      </c>
    </row>
    <row r="93" spans="1:5" x14ac:dyDescent="0.2">
      <c r="A93" s="267"/>
      <c r="B93" s="267"/>
      <c r="C93" s="267"/>
      <c r="D93" s="267"/>
      <c r="E93" s="267"/>
    </row>
    <row r="94" spans="1:5" x14ac:dyDescent="0.2">
      <c r="A94" s="496" t="s">
        <v>454</v>
      </c>
      <c r="B94" s="511" t="str">
        <f>IF(B90&gt;1997,"",B90+1)</f>
        <v/>
      </c>
      <c r="C94" s="497"/>
      <c r="D94" s="498" t="s">
        <v>455</v>
      </c>
      <c r="E94" s="499" t="str">
        <f>IF(B94=1981,0.055,IF(B94=1982,0.0845,IF(B94=1983,0.1017,IF(B94=1984,0.093807,IF(B94=1985,0.12604006,IF(B94=1986,0.08076508,IF(B94=1987,0.06066944,IF(B94=1988,0.06668109,IF(B94=1989,0.08438409,IF(B94=1990,0.08780206,IF(B94=1991,0.10655716,IF(B94=1992,0.1269022,IF(B94=1993,0.13044565,IF(B94=1994,0.0952,IF(B94=1995,0.07845,IF(B94=1996,0.04089,IF(B94=1997,0.06913,IF(B94=1998,0.0873744,""))))))))))))))))))</f>
        <v/>
      </c>
    </row>
    <row r="95" spans="1:5" x14ac:dyDescent="0.2">
      <c r="A95" s="500"/>
      <c r="B95" s="501"/>
      <c r="C95" s="501"/>
      <c r="D95" s="501"/>
      <c r="E95" s="502" t="e">
        <f>SUM(E92*E94)</f>
        <v>#VALUE!</v>
      </c>
    </row>
    <row r="96" spans="1:5" ht="14.25" x14ac:dyDescent="0.2">
      <c r="A96" s="503"/>
      <c r="B96" s="504"/>
      <c r="C96" s="505" t="s">
        <v>457</v>
      </c>
      <c r="D96" s="504"/>
      <c r="E96" s="508" t="e">
        <f>SUM(E92+E95)</f>
        <v>#VALUE!</v>
      </c>
    </row>
  </sheetData>
  <sheetProtection selectLockedCells="1"/>
  <mergeCells count="2">
    <mergeCell ref="A1:I1"/>
    <mergeCell ref="A2:I2"/>
  </mergeCells>
  <pageMargins left="0.5" right="0.5" top="0.5" bottom="0.5" header="0.5" footer="0.5"/>
  <pageSetup scale="97" orientation="portrait" r:id="rId1"/>
  <headerFooter alignWithMargins="0"/>
  <rowBreaks count="1" manualBreakCount="1">
    <brk id="4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D37C-C2D2-4A90-9D06-0443AE9075D1}">
  <dimension ref="B1:G10"/>
  <sheetViews>
    <sheetView workbookViewId="0">
      <selection activeCell="G9" sqref="G9"/>
    </sheetView>
  </sheetViews>
  <sheetFormatPr defaultRowHeight="15" x14ac:dyDescent="0.25"/>
  <cols>
    <col min="2" max="2" width="19.5703125" bestFit="1" customWidth="1"/>
    <col min="3" max="3" width="12.42578125" customWidth="1"/>
    <col min="4" max="4" width="14.5703125" customWidth="1"/>
    <col min="5" max="5" width="21" customWidth="1"/>
    <col min="6" max="6" width="28.5703125" customWidth="1"/>
    <col min="7" max="7" width="25.7109375" customWidth="1"/>
  </cols>
  <sheetData>
    <row r="1" spans="2:7" x14ac:dyDescent="0.25">
      <c r="B1" s="586" t="s">
        <v>198</v>
      </c>
      <c r="E1" s="586" t="s">
        <v>200</v>
      </c>
      <c r="F1" s="586" t="str">
        <f>"What member will receive if they ask for $"&amp;B4</f>
        <v>What member will receive if they ask for $18660.37</v>
      </c>
      <c r="G1" s="586" t="str">
        <f>"What member will receive if they ask for $"&amp;E4</f>
        <v>What member will receive if they ask for $23325.4625</v>
      </c>
    </row>
    <row r="2" spans="2:7" x14ac:dyDescent="0.25">
      <c r="B2" s="586"/>
      <c r="E2" s="586"/>
      <c r="F2" s="586"/>
      <c r="G2" s="586"/>
    </row>
    <row r="3" spans="2:7" x14ac:dyDescent="0.25">
      <c r="B3" s="586"/>
      <c r="C3" t="s">
        <v>199</v>
      </c>
      <c r="E3" s="586"/>
      <c r="F3" s="586"/>
      <c r="G3" s="586"/>
    </row>
    <row r="4" spans="2:7" x14ac:dyDescent="0.25">
      <c r="B4" s="197">
        <v>18660.37</v>
      </c>
      <c r="C4" s="197">
        <f>B4*0.2</f>
        <v>3732.0740000000001</v>
      </c>
      <c r="D4" s="197"/>
      <c r="E4" s="197">
        <f>SUM(B4+(B4*0.25))</f>
        <v>23325.462499999998</v>
      </c>
      <c r="F4" s="197">
        <f>SUM(B4-(C4+D4))</f>
        <v>14928.295999999998</v>
      </c>
      <c r="G4" s="197">
        <f>SUM(E4-(E4*0.2))</f>
        <v>18660.37</v>
      </c>
    </row>
    <row r="5" spans="2:7" x14ac:dyDescent="0.25">
      <c r="E5" s="196"/>
    </row>
    <row r="6" spans="2:7" x14ac:dyDescent="0.25">
      <c r="B6" s="586" t="s">
        <v>201</v>
      </c>
      <c r="C6" s="195"/>
      <c r="D6" s="195"/>
      <c r="E6" s="586" t="s">
        <v>200</v>
      </c>
      <c r="F6" s="586" t="str">
        <f>"What member will receive if they ask for $"&amp;B9</f>
        <v>What member will receive if they ask for $1000</v>
      </c>
      <c r="G6" s="586" t="str">
        <f>"What member will receive if they ask for $"&amp;E9</f>
        <v>What member will receive if they ask for $1282.1</v>
      </c>
    </row>
    <row r="7" spans="2:7" x14ac:dyDescent="0.25">
      <c r="B7" s="586"/>
      <c r="C7" s="195"/>
      <c r="D7" s="195"/>
      <c r="E7" s="586"/>
      <c r="F7" s="586"/>
      <c r="G7" s="586"/>
    </row>
    <row r="8" spans="2:7" x14ac:dyDescent="0.25">
      <c r="B8" s="586"/>
      <c r="C8" s="195" t="s">
        <v>199</v>
      </c>
      <c r="D8" s="195" t="s">
        <v>202</v>
      </c>
      <c r="E8" s="586"/>
      <c r="F8" s="586"/>
      <c r="G8" s="586"/>
    </row>
    <row r="9" spans="2:7" x14ac:dyDescent="0.25">
      <c r="B9" s="197">
        <v>1000</v>
      </c>
      <c r="C9" s="197">
        <f>B9*0.2</f>
        <v>200</v>
      </c>
      <c r="D9" s="197">
        <f>0.02*B9</f>
        <v>20</v>
      </c>
      <c r="E9" s="197">
        <f>SUM(B9+(B9*0.25)+(B9*0.0321))</f>
        <v>1282.0999999999999</v>
      </c>
      <c r="F9" s="197">
        <f>SUM(B9-(C9+D9))</f>
        <v>780</v>
      </c>
      <c r="G9" s="197">
        <f>SUM(E9-((E9*0.2)+(E9*0.02)))</f>
        <v>1000.0379999999999</v>
      </c>
    </row>
    <row r="10" spans="2:7" x14ac:dyDescent="0.25">
      <c r="E10">
        <f>SUM(E9-((E9*0.2)+(E9*0.02)))</f>
        <v>1000.0379999999999</v>
      </c>
    </row>
  </sheetData>
  <mergeCells count="8">
    <mergeCell ref="G1:G3"/>
    <mergeCell ref="G6:G8"/>
    <mergeCell ref="E1:E3"/>
    <mergeCell ref="E6:E8"/>
    <mergeCell ref="B1:B3"/>
    <mergeCell ref="B6:B8"/>
    <mergeCell ref="F6:F8"/>
    <mergeCell ref="F1:F3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5042-234D-4902-BC54-CD0987BFEF79}">
  <sheetPr>
    <pageSetUpPr fitToPage="1"/>
  </sheetPr>
  <dimension ref="A4:K124"/>
  <sheetViews>
    <sheetView topLeftCell="A10" zoomScale="70" zoomScaleNormal="70" zoomScalePageLayoutView="25" workbookViewId="0">
      <selection activeCell="B12" sqref="B12"/>
    </sheetView>
  </sheetViews>
  <sheetFormatPr defaultRowHeight="93.75" x14ac:dyDescent="1.4"/>
  <cols>
    <col min="1" max="1" width="65.140625" style="516" bestFit="1" customWidth="1"/>
    <col min="2" max="2" width="29.28515625" style="516" bestFit="1" customWidth="1"/>
    <col min="3" max="4" width="9.140625" style="516"/>
    <col min="5" max="5" width="10.85546875" style="516" customWidth="1"/>
    <col min="6" max="6" width="35.42578125" style="516" bestFit="1" customWidth="1"/>
    <col min="7" max="7" width="11" style="516" bestFit="1" customWidth="1"/>
    <col min="8" max="16384" width="9.140625" style="516"/>
  </cols>
  <sheetData>
    <row r="4" spans="1:8" x14ac:dyDescent="1.4">
      <c r="A4" s="588" t="s">
        <v>467</v>
      </c>
      <c r="B4" s="588"/>
      <c r="C4" s="588"/>
      <c r="D4" s="588"/>
      <c r="E4" s="588"/>
      <c r="F4" s="588"/>
      <c r="G4" s="588"/>
      <c r="H4" s="588"/>
    </row>
    <row r="5" spans="1:8" x14ac:dyDescent="1.4">
      <c r="A5" s="525" t="s">
        <v>1</v>
      </c>
      <c r="B5" s="589"/>
      <c r="C5" s="589"/>
      <c r="D5" s="589"/>
      <c r="E5" s="589"/>
      <c r="F5" s="525" t="s">
        <v>0</v>
      </c>
      <c r="G5" s="589"/>
      <c r="H5" s="589"/>
    </row>
    <row r="6" spans="1:8" x14ac:dyDescent="1.4">
      <c r="A6" s="525" t="s">
        <v>466</v>
      </c>
      <c r="B6" s="589"/>
      <c r="C6" s="589"/>
      <c r="D6" s="589"/>
      <c r="E6" s="589"/>
      <c r="F6" s="525" t="s">
        <v>476</v>
      </c>
      <c r="G6" s="589"/>
      <c r="H6" s="589"/>
    </row>
    <row r="7" spans="1:8" x14ac:dyDescent="1.4">
      <c r="A7" s="525" t="s">
        <v>473</v>
      </c>
      <c r="B7" s="526"/>
      <c r="C7" s="526"/>
      <c r="D7" s="526"/>
      <c r="E7" s="526"/>
      <c r="F7" s="525"/>
      <c r="G7" s="525"/>
      <c r="H7" s="525"/>
    </row>
    <row r="8" spans="1:8" x14ac:dyDescent="1.4">
      <c r="A8" s="525" t="s">
        <v>3</v>
      </c>
      <c r="B8" s="589"/>
      <c r="C8" s="589"/>
      <c r="D8" s="589"/>
      <c r="E8" s="589"/>
      <c r="F8" s="525"/>
      <c r="G8" s="525"/>
      <c r="H8" s="525"/>
    </row>
    <row r="9" spans="1:8" x14ac:dyDescent="1.4">
      <c r="A9" s="525" t="s">
        <v>474</v>
      </c>
      <c r="B9" s="526"/>
      <c r="C9" s="526"/>
      <c r="D9" s="526"/>
      <c r="E9" s="526"/>
      <c r="F9" s="525"/>
      <c r="G9" s="525"/>
      <c r="H9" s="525"/>
    </row>
    <row r="10" spans="1:8" x14ac:dyDescent="1.4">
      <c r="A10" s="525" t="s">
        <v>469</v>
      </c>
      <c r="B10" s="589"/>
      <c r="C10" s="589"/>
      <c r="D10" s="589"/>
      <c r="E10" s="589"/>
      <c r="F10" s="525"/>
      <c r="G10" s="525"/>
      <c r="H10" s="525"/>
    </row>
    <row r="11" spans="1:8" x14ac:dyDescent="1.4">
      <c r="A11" s="525" t="s">
        <v>475</v>
      </c>
      <c r="B11" s="526"/>
      <c r="C11" s="526"/>
      <c r="D11" s="526"/>
      <c r="E11" s="526"/>
      <c r="F11" s="525"/>
      <c r="G11" s="525"/>
      <c r="H11" s="525"/>
    </row>
    <row r="12" spans="1:8" x14ac:dyDescent="1.4">
      <c r="A12" s="525" t="s">
        <v>92</v>
      </c>
      <c r="B12" s="527">
        <f ca="1">TODAY()</f>
        <v>46164</v>
      </c>
      <c r="C12" s="526"/>
      <c r="D12" s="526"/>
      <c r="E12" s="526"/>
      <c r="F12" s="525"/>
      <c r="G12" s="525"/>
      <c r="H12" s="525"/>
    </row>
    <row r="13" spans="1:8" x14ac:dyDescent="1.4">
      <c r="A13" s="588" t="s">
        <v>468</v>
      </c>
      <c r="B13" s="588"/>
      <c r="C13" s="588"/>
      <c r="D13" s="588"/>
      <c r="E13" s="588"/>
      <c r="F13" s="588"/>
      <c r="G13" s="588"/>
      <c r="H13" s="525"/>
    </row>
    <row r="14" spans="1:8" x14ac:dyDescent="1.4">
      <c r="A14" s="588" t="s">
        <v>470</v>
      </c>
      <c r="B14" s="588"/>
      <c r="C14" s="588"/>
      <c r="D14" s="588"/>
      <c r="E14" s="588"/>
      <c r="F14" s="588"/>
      <c r="G14" s="588"/>
      <c r="H14" s="525"/>
    </row>
    <row r="15" spans="1:8" x14ac:dyDescent="1.4">
      <c r="A15" s="525" t="s">
        <v>472</v>
      </c>
      <c r="B15" s="525"/>
      <c r="C15" s="525"/>
      <c r="D15" s="525"/>
      <c r="E15" s="525"/>
      <c r="F15" s="525"/>
      <c r="G15" s="525"/>
      <c r="H15" s="525"/>
    </row>
    <row r="16" spans="1:8" x14ac:dyDescent="1.4">
      <c r="A16" s="525" t="s">
        <v>471</v>
      </c>
      <c r="B16" s="528">
        <v>46174</v>
      </c>
      <c r="C16" s="525"/>
      <c r="D16" s="525"/>
      <c r="E16" s="525"/>
      <c r="F16" s="525"/>
      <c r="G16" s="525"/>
      <c r="H16" s="525"/>
    </row>
    <row r="17" spans="1:8" x14ac:dyDescent="1.4">
      <c r="A17" s="525"/>
      <c r="B17" s="525"/>
      <c r="C17" s="525"/>
      <c r="D17" s="525"/>
      <c r="E17" s="525"/>
      <c r="F17" s="525"/>
      <c r="G17" s="525"/>
      <c r="H17" s="525"/>
    </row>
    <row r="18" spans="1:8" x14ac:dyDescent="1.4">
      <c r="A18" s="525"/>
      <c r="B18" s="525"/>
      <c r="C18" s="525"/>
      <c r="D18" s="525"/>
      <c r="E18" s="525"/>
      <c r="F18" s="525"/>
      <c r="G18" s="525"/>
      <c r="H18" s="525"/>
    </row>
    <row r="76" spans="1:11" ht="101.25" x14ac:dyDescent="1.4">
      <c r="A76" s="587"/>
      <c r="B76" s="587"/>
      <c r="C76" s="587"/>
      <c r="D76" s="587"/>
      <c r="E76" s="587"/>
      <c r="F76" s="587"/>
      <c r="G76" s="587"/>
      <c r="H76" s="587"/>
      <c r="I76" s="587"/>
      <c r="J76" s="587"/>
      <c r="K76" s="587"/>
    </row>
    <row r="77" spans="1:11" ht="101.25" x14ac:dyDescent="1.4">
      <c r="A77" s="517"/>
    </row>
    <row r="78" spans="1:11" ht="101.25" x14ac:dyDescent="1.4">
      <c r="A78" s="587"/>
      <c r="B78" s="587"/>
      <c r="C78" s="587"/>
      <c r="D78" s="587"/>
      <c r="E78" s="587"/>
      <c r="F78" s="587"/>
      <c r="G78" s="587"/>
      <c r="H78" s="587"/>
      <c r="I78" s="587"/>
      <c r="J78" s="587"/>
      <c r="K78" s="587"/>
    </row>
    <row r="79" spans="1:11" ht="101.25" x14ac:dyDescent="1.4">
      <c r="A79" s="517"/>
    </row>
    <row r="80" spans="1:11" ht="101.25" x14ac:dyDescent="1.4">
      <c r="A80" s="518"/>
      <c r="B80" s="519"/>
      <c r="F80" s="520"/>
    </row>
    <row r="81" spans="1:9" ht="101.25" x14ac:dyDescent="1.4">
      <c r="A81" s="518"/>
      <c r="B81" s="519"/>
    </row>
    <row r="82" spans="1:9" ht="101.25" x14ac:dyDescent="1.4">
      <c r="A82" s="521"/>
    </row>
    <row r="83" spans="1:9" ht="101.25" x14ac:dyDescent="1.4">
      <c r="A83" s="518"/>
    </row>
    <row r="84" spans="1:9" ht="101.25" x14ac:dyDescent="1.4">
      <c r="A84" s="520"/>
    </row>
    <row r="85" spans="1:9" ht="101.25" x14ac:dyDescent="1.4">
      <c r="A85" s="522"/>
    </row>
    <row r="86" spans="1:9" ht="101.25" x14ac:dyDescent="1.4">
      <c r="A86" s="522"/>
    </row>
    <row r="87" spans="1:9" ht="101.25" x14ac:dyDescent="1.4">
      <c r="A87" s="522"/>
      <c r="B87" s="522"/>
    </row>
    <row r="88" spans="1:9" ht="101.25" x14ac:dyDescent="1.4">
      <c r="C88" s="522"/>
    </row>
    <row r="89" spans="1:9" ht="101.25" x14ac:dyDescent="1.4">
      <c r="A89" s="522"/>
      <c r="B89" s="522"/>
    </row>
    <row r="90" spans="1:9" ht="101.25" x14ac:dyDescent="1.4">
      <c r="C90" s="522"/>
    </row>
    <row r="91" spans="1:9" ht="101.25" x14ac:dyDescent="1.4">
      <c r="A91" s="523"/>
    </row>
    <row r="92" spans="1:9" ht="101.25" x14ac:dyDescent="1.4">
      <c r="A92" s="522"/>
    </row>
    <row r="93" spans="1:9" ht="101.25" x14ac:dyDescent="1.4">
      <c r="A93" s="522"/>
      <c r="B93" s="522"/>
    </row>
    <row r="94" spans="1:9" ht="101.25" x14ac:dyDescent="1.4">
      <c r="A94" s="522"/>
    </row>
    <row r="95" spans="1:9" ht="101.25" x14ac:dyDescent="1.4">
      <c r="A95" s="522"/>
      <c r="B95" s="522"/>
      <c r="C95" s="522"/>
      <c r="D95" s="522"/>
    </row>
    <row r="96" spans="1:9" ht="101.25" x14ac:dyDescent="1.4">
      <c r="C96" s="522"/>
      <c r="D96" s="522"/>
      <c r="I96" s="522"/>
    </row>
    <row r="97" spans="1:11" ht="101.25" x14ac:dyDescent="1.4">
      <c r="C97" s="522"/>
      <c r="F97" s="522"/>
      <c r="H97" s="522"/>
    </row>
    <row r="98" spans="1:11" ht="101.25" x14ac:dyDescent="1.4">
      <c r="C98" s="522"/>
      <c r="E98" s="522"/>
      <c r="G98" s="522"/>
    </row>
    <row r="99" spans="1:11" ht="101.25" x14ac:dyDescent="1.4">
      <c r="A99" s="522"/>
    </row>
    <row r="100" spans="1:11" ht="101.25" x14ac:dyDescent="1.4">
      <c r="A100" s="521"/>
      <c r="B100" s="521"/>
      <c r="E100" s="521"/>
      <c r="F100" s="521"/>
    </row>
    <row r="101" spans="1:11" ht="101.25" x14ac:dyDescent="1.4">
      <c r="C101" s="522"/>
      <c r="D101" s="522"/>
      <c r="I101" s="522"/>
    </row>
    <row r="102" spans="1:11" ht="101.25" x14ac:dyDescent="1.4">
      <c r="C102" s="522"/>
      <c r="F102" s="522"/>
      <c r="H102" s="522"/>
    </row>
    <row r="103" spans="1:11" ht="101.25" x14ac:dyDescent="1.4">
      <c r="C103" s="521"/>
      <c r="E103" s="521"/>
      <c r="G103" s="521"/>
    </row>
    <row r="104" spans="1:11" ht="101.25" x14ac:dyDescent="1.4">
      <c r="A104" s="521"/>
    </row>
    <row r="105" spans="1:11" ht="101.25" x14ac:dyDescent="1.4">
      <c r="A105" s="587"/>
      <c r="B105" s="587"/>
      <c r="C105" s="587"/>
      <c r="D105" s="587"/>
      <c r="E105" s="587"/>
      <c r="F105" s="587"/>
      <c r="G105" s="587"/>
      <c r="H105" s="587"/>
      <c r="I105" s="587"/>
      <c r="J105" s="587"/>
      <c r="K105" s="587"/>
    </row>
    <row r="106" spans="1:11" ht="101.25" x14ac:dyDescent="1.4">
      <c r="A106" s="517"/>
    </row>
    <row r="107" spans="1:11" ht="101.25" x14ac:dyDescent="1.4">
      <c r="A107" s="521"/>
      <c r="C107" s="521"/>
      <c r="D107" s="521"/>
      <c r="E107" s="524"/>
    </row>
    <row r="108" spans="1:11" ht="101.25" x14ac:dyDescent="1.4">
      <c r="A108" s="521"/>
    </row>
    <row r="109" spans="1:11" ht="101.25" x14ac:dyDescent="1.4">
      <c r="A109" s="521"/>
      <c r="C109" s="521"/>
      <c r="D109" s="521"/>
    </row>
    <row r="110" spans="1:11" ht="101.25" x14ac:dyDescent="1.4">
      <c r="A110" s="521"/>
      <c r="D110" s="521"/>
      <c r="E110" s="521"/>
    </row>
    <row r="111" spans="1:11" ht="101.25" x14ac:dyDescent="1.4">
      <c r="A111" s="521"/>
    </row>
    <row r="112" spans="1:11" ht="101.25" x14ac:dyDescent="1.4">
      <c r="A112" s="587"/>
      <c r="B112" s="587"/>
      <c r="C112" s="587"/>
      <c r="D112" s="587"/>
      <c r="E112" s="587"/>
      <c r="F112" s="587"/>
      <c r="G112" s="587"/>
      <c r="H112" s="587"/>
      <c r="I112" s="587"/>
      <c r="J112" s="587"/>
      <c r="K112" s="587"/>
    </row>
    <row r="113" spans="1:5" ht="101.25" x14ac:dyDescent="1.4">
      <c r="B113" s="521"/>
      <c r="D113" s="521"/>
      <c r="E113" s="521"/>
    </row>
    <row r="114" spans="1:5" ht="101.25" x14ac:dyDescent="1.4">
      <c r="A114" s="521"/>
    </row>
    <row r="115" spans="1:5" ht="101.25" x14ac:dyDescent="1.4">
      <c r="A115" s="521"/>
      <c r="B115" s="521"/>
    </row>
    <row r="116" spans="1:5" ht="101.25" x14ac:dyDescent="1.4">
      <c r="A116" s="521"/>
    </row>
    <row r="117" spans="1:5" ht="101.25" x14ac:dyDescent="1.4">
      <c r="A117" s="521"/>
      <c r="B117" s="521"/>
      <c r="C117" s="521"/>
    </row>
    <row r="118" spans="1:5" ht="101.25" x14ac:dyDescent="1.4">
      <c r="A118" s="521"/>
    </row>
    <row r="119" spans="1:5" ht="101.25" x14ac:dyDescent="1.4">
      <c r="A119" s="523"/>
    </row>
    <row r="120" spans="1:5" ht="101.25" x14ac:dyDescent="1.4">
      <c r="A120" s="523"/>
    </row>
    <row r="121" spans="1:5" ht="101.25" x14ac:dyDescent="1.4">
      <c r="A121" s="521"/>
      <c r="B121" s="521"/>
    </row>
    <row r="122" spans="1:5" ht="101.25" x14ac:dyDescent="1.4">
      <c r="A122" s="522"/>
    </row>
    <row r="123" spans="1:5" ht="101.25" x14ac:dyDescent="1.4">
      <c r="A123" s="522"/>
      <c r="B123" s="522"/>
      <c r="C123" s="522"/>
    </row>
    <row r="124" spans="1:5" ht="101.25" x14ac:dyDescent="1.4">
      <c r="A124" s="522"/>
    </row>
  </sheetData>
  <mergeCells count="13">
    <mergeCell ref="G6:H6"/>
    <mergeCell ref="G5:H5"/>
    <mergeCell ref="A13:G13"/>
    <mergeCell ref="A4:H4"/>
    <mergeCell ref="B5:E5"/>
    <mergeCell ref="B6:E6"/>
    <mergeCell ref="B8:E8"/>
    <mergeCell ref="B10:E10"/>
    <mergeCell ref="A76:K76"/>
    <mergeCell ref="A78:K78"/>
    <mergeCell ref="A105:K105"/>
    <mergeCell ref="A112:K112"/>
    <mergeCell ref="A14:G14"/>
  </mergeCells>
  <pageMargins left="0.7" right="0.7" top="0.75" bottom="0.75" header="0.3" footer="0.3"/>
  <pageSetup scale="44" fitToHeight="0" orientation="portrait" horizontalDpi="1200" verticalDpi="1200" r:id="rId1"/>
  <headerFooter>
    <oddHeader>&amp;L                                                           &amp;G&amp;C&amp;36California Ironworkers Field Defined Contribution Pension Plan
131 N El Molino Avenue Suite 330 Pasadena CA 91101
(626) 792-7337 Phone (626) 578-0450 Fax www.ironworkerbenny.com</oddHeader>
    <oddFooter>&amp;C&amp;20For Language Assistance:
Para obtener asistencia en Espanol, llame al 1-800-527-4613 * * 如果需要中文的帮助，请拨打这个号码 1-800-527-4613
06.2023 LMV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B7D7-8BA3-4514-80E4-0049034BF0CC}">
  <sheetPr>
    <pageSetUpPr fitToPage="1"/>
  </sheetPr>
  <dimension ref="A1:P59"/>
  <sheetViews>
    <sheetView zoomScale="160" zoomScaleNormal="160" workbookViewId="0">
      <selection activeCell="I26" sqref="I26"/>
    </sheetView>
  </sheetViews>
  <sheetFormatPr defaultRowHeight="13.5" x14ac:dyDescent="0.25"/>
  <cols>
    <col min="1" max="1" width="14.42578125" style="401" customWidth="1"/>
    <col min="2" max="2" width="27.42578125" style="1" customWidth="1"/>
    <col min="3" max="3" width="9.140625" style="1"/>
    <col min="4" max="4" width="12.7109375" style="1" customWidth="1"/>
    <col min="5" max="5" width="32.42578125" style="1" customWidth="1"/>
    <col min="6" max="6" width="19.140625" style="1" customWidth="1"/>
    <col min="7" max="7" width="11.85546875" style="97" customWidth="1"/>
    <col min="8" max="8" width="9.140625" style="1" customWidth="1"/>
    <col min="9" max="9" width="6.7109375" style="1" customWidth="1"/>
    <col min="10" max="10" width="10" style="1" customWidth="1"/>
    <col min="11" max="11" width="13.5703125" style="1" customWidth="1"/>
    <col min="12" max="12" width="12.140625" style="1" customWidth="1"/>
    <col min="13" max="13" width="12" style="1" customWidth="1"/>
    <col min="14" max="14" width="12.42578125" style="1" customWidth="1"/>
    <col min="15" max="15" width="13.5703125" style="1" bestFit="1" customWidth="1"/>
    <col min="16" max="256" width="9.140625" style="1"/>
    <col min="257" max="257" width="14.42578125" style="1" customWidth="1"/>
    <col min="258" max="258" width="27.42578125" style="1" customWidth="1"/>
    <col min="259" max="259" width="9.140625" style="1"/>
    <col min="260" max="260" width="12.7109375" style="1" customWidth="1"/>
    <col min="261" max="261" width="32.42578125" style="1" customWidth="1"/>
    <col min="262" max="262" width="19.140625" style="1" customWidth="1"/>
    <col min="263" max="263" width="21.85546875" style="1" customWidth="1"/>
    <col min="264" max="265" width="9.140625" style="1"/>
    <col min="266" max="266" width="10.85546875" style="1" bestFit="1" customWidth="1"/>
    <col min="267" max="269" width="9.140625" style="1"/>
    <col min="270" max="270" width="9.42578125" style="1" bestFit="1" customWidth="1"/>
    <col min="271" max="271" width="9.85546875" style="1" bestFit="1" customWidth="1"/>
    <col min="272" max="512" width="9.140625" style="1"/>
    <col min="513" max="513" width="14.42578125" style="1" customWidth="1"/>
    <col min="514" max="514" width="27.42578125" style="1" customWidth="1"/>
    <col min="515" max="515" width="9.140625" style="1"/>
    <col min="516" max="516" width="12.7109375" style="1" customWidth="1"/>
    <col min="517" max="517" width="32.42578125" style="1" customWidth="1"/>
    <col min="518" max="518" width="19.140625" style="1" customWidth="1"/>
    <col min="519" max="519" width="21.85546875" style="1" customWidth="1"/>
    <col min="520" max="521" width="9.140625" style="1"/>
    <col min="522" max="522" width="10.85546875" style="1" bestFit="1" customWidth="1"/>
    <col min="523" max="525" width="9.140625" style="1"/>
    <col min="526" max="526" width="9.42578125" style="1" bestFit="1" customWidth="1"/>
    <col min="527" max="527" width="9.85546875" style="1" bestFit="1" customWidth="1"/>
    <col min="528" max="768" width="9.140625" style="1"/>
    <col min="769" max="769" width="14.42578125" style="1" customWidth="1"/>
    <col min="770" max="770" width="27.42578125" style="1" customWidth="1"/>
    <col min="771" max="771" width="9.140625" style="1"/>
    <col min="772" max="772" width="12.7109375" style="1" customWidth="1"/>
    <col min="773" max="773" width="32.42578125" style="1" customWidth="1"/>
    <col min="774" max="774" width="19.140625" style="1" customWidth="1"/>
    <col min="775" max="775" width="21.85546875" style="1" customWidth="1"/>
    <col min="776" max="777" width="9.140625" style="1"/>
    <col min="778" max="778" width="10.85546875" style="1" bestFit="1" customWidth="1"/>
    <col min="779" max="781" width="9.140625" style="1"/>
    <col min="782" max="782" width="9.42578125" style="1" bestFit="1" customWidth="1"/>
    <col min="783" max="783" width="9.85546875" style="1" bestFit="1" customWidth="1"/>
    <col min="784" max="1024" width="9.140625" style="1"/>
    <col min="1025" max="1025" width="14.42578125" style="1" customWidth="1"/>
    <col min="1026" max="1026" width="27.42578125" style="1" customWidth="1"/>
    <col min="1027" max="1027" width="9.140625" style="1"/>
    <col min="1028" max="1028" width="12.7109375" style="1" customWidth="1"/>
    <col min="1029" max="1029" width="32.42578125" style="1" customWidth="1"/>
    <col min="1030" max="1030" width="19.140625" style="1" customWidth="1"/>
    <col min="1031" max="1031" width="21.85546875" style="1" customWidth="1"/>
    <col min="1032" max="1033" width="9.140625" style="1"/>
    <col min="1034" max="1034" width="10.85546875" style="1" bestFit="1" customWidth="1"/>
    <col min="1035" max="1037" width="9.140625" style="1"/>
    <col min="1038" max="1038" width="9.42578125" style="1" bestFit="1" customWidth="1"/>
    <col min="1039" max="1039" width="9.85546875" style="1" bestFit="1" customWidth="1"/>
    <col min="1040" max="1280" width="9.140625" style="1"/>
    <col min="1281" max="1281" width="14.42578125" style="1" customWidth="1"/>
    <col min="1282" max="1282" width="27.42578125" style="1" customWidth="1"/>
    <col min="1283" max="1283" width="9.140625" style="1"/>
    <col min="1284" max="1284" width="12.7109375" style="1" customWidth="1"/>
    <col min="1285" max="1285" width="32.42578125" style="1" customWidth="1"/>
    <col min="1286" max="1286" width="19.140625" style="1" customWidth="1"/>
    <col min="1287" max="1287" width="21.85546875" style="1" customWidth="1"/>
    <col min="1288" max="1289" width="9.140625" style="1"/>
    <col min="1290" max="1290" width="10.85546875" style="1" bestFit="1" customWidth="1"/>
    <col min="1291" max="1293" width="9.140625" style="1"/>
    <col min="1294" max="1294" width="9.42578125" style="1" bestFit="1" customWidth="1"/>
    <col min="1295" max="1295" width="9.85546875" style="1" bestFit="1" customWidth="1"/>
    <col min="1296" max="1536" width="9.140625" style="1"/>
    <col min="1537" max="1537" width="14.42578125" style="1" customWidth="1"/>
    <col min="1538" max="1538" width="27.42578125" style="1" customWidth="1"/>
    <col min="1539" max="1539" width="9.140625" style="1"/>
    <col min="1540" max="1540" width="12.7109375" style="1" customWidth="1"/>
    <col min="1541" max="1541" width="32.42578125" style="1" customWidth="1"/>
    <col min="1542" max="1542" width="19.140625" style="1" customWidth="1"/>
    <col min="1543" max="1543" width="21.85546875" style="1" customWidth="1"/>
    <col min="1544" max="1545" width="9.140625" style="1"/>
    <col min="1546" max="1546" width="10.85546875" style="1" bestFit="1" customWidth="1"/>
    <col min="1547" max="1549" width="9.140625" style="1"/>
    <col min="1550" max="1550" width="9.42578125" style="1" bestFit="1" customWidth="1"/>
    <col min="1551" max="1551" width="9.85546875" style="1" bestFit="1" customWidth="1"/>
    <col min="1552" max="1792" width="9.140625" style="1"/>
    <col min="1793" max="1793" width="14.42578125" style="1" customWidth="1"/>
    <col min="1794" max="1794" width="27.42578125" style="1" customWidth="1"/>
    <col min="1795" max="1795" width="9.140625" style="1"/>
    <col min="1796" max="1796" width="12.7109375" style="1" customWidth="1"/>
    <col min="1797" max="1797" width="32.42578125" style="1" customWidth="1"/>
    <col min="1798" max="1798" width="19.140625" style="1" customWidth="1"/>
    <col min="1799" max="1799" width="21.85546875" style="1" customWidth="1"/>
    <col min="1800" max="1801" width="9.140625" style="1"/>
    <col min="1802" max="1802" width="10.85546875" style="1" bestFit="1" customWidth="1"/>
    <col min="1803" max="1805" width="9.140625" style="1"/>
    <col min="1806" max="1806" width="9.42578125" style="1" bestFit="1" customWidth="1"/>
    <col min="1807" max="1807" width="9.85546875" style="1" bestFit="1" customWidth="1"/>
    <col min="1808" max="2048" width="9.140625" style="1"/>
    <col min="2049" max="2049" width="14.42578125" style="1" customWidth="1"/>
    <col min="2050" max="2050" width="27.42578125" style="1" customWidth="1"/>
    <col min="2051" max="2051" width="9.140625" style="1"/>
    <col min="2052" max="2052" width="12.7109375" style="1" customWidth="1"/>
    <col min="2053" max="2053" width="32.42578125" style="1" customWidth="1"/>
    <col min="2054" max="2054" width="19.140625" style="1" customWidth="1"/>
    <col min="2055" max="2055" width="21.85546875" style="1" customWidth="1"/>
    <col min="2056" max="2057" width="9.140625" style="1"/>
    <col min="2058" max="2058" width="10.85546875" style="1" bestFit="1" customWidth="1"/>
    <col min="2059" max="2061" width="9.140625" style="1"/>
    <col min="2062" max="2062" width="9.42578125" style="1" bestFit="1" customWidth="1"/>
    <col min="2063" max="2063" width="9.85546875" style="1" bestFit="1" customWidth="1"/>
    <col min="2064" max="2304" width="9.140625" style="1"/>
    <col min="2305" max="2305" width="14.42578125" style="1" customWidth="1"/>
    <col min="2306" max="2306" width="27.42578125" style="1" customWidth="1"/>
    <col min="2307" max="2307" width="9.140625" style="1"/>
    <col min="2308" max="2308" width="12.7109375" style="1" customWidth="1"/>
    <col min="2309" max="2309" width="32.42578125" style="1" customWidth="1"/>
    <col min="2310" max="2310" width="19.140625" style="1" customWidth="1"/>
    <col min="2311" max="2311" width="21.85546875" style="1" customWidth="1"/>
    <col min="2312" max="2313" width="9.140625" style="1"/>
    <col min="2314" max="2314" width="10.85546875" style="1" bestFit="1" customWidth="1"/>
    <col min="2315" max="2317" width="9.140625" style="1"/>
    <col min="2318" max="2318" width="9.42578125" style="1" bestFit="1" customWidth="1"/>
    <col min="2319" max="2319" width="9.85546875" style="1" bestFit="1" customWidth="1"/>
    <col min="2320" max="2560" width="9.140625" style="1"/>
    <col min="2561" max="2561" width="14.42578125" style="1" customWidth="1"/>
    <col min="2562" max="2562" width="27.42578125" style="1" customWidth="1"/>
    <col min="2563" max="2563" width="9.140625" style="1"/>
    <col min="2564" max="2564" width="12.7109375" style="1" customWidth="1"/>
    <col min="2565" max="2565" width="32.42578125" style="1" customWidth="1"/>
    <col min="2566" max="2566" width="19.140625" style="1" customWidth="1"/>
    <col min="2567" max="2567" width="21.85546875" style="1" customWidth="1"/>
    <col min="2568" max="2569" width="9.140625" style="1"/>
    <col min="2570" max="2570" width="10.85546875" style="1" bestFit="1" customWidth="1"/>
    <col min="2571" max="2573" width="9.140625" style="1"/>
    <col min="2574" max="2574" width="9.42578125" style="1" bestFit="1" customWidth="1"/>
    <col min="2575" max="2575" width="9.85546875" style="1" bestFit="1" customWidth="1"/>
    <col min="2576" max="2816" width="9.140625" style="1"/>
    <col min="2817" max="2817" width="14.42578125" style="1" customWidth="1"/>
    <col min="2818" max="2818" width="27.42578125" style="1" customWidth="1"/>
    <col min="2819" max="2819" width="9.140625" style="1"/>
    <col min="2820" max="2820" width="12.7109375" style="1" customWidth="1"/>
    <col min="2821" max="2821" width="32.42578125" style="1" customWidth="1"/>
    <col min="2822" max="2822" width="19.140625" style="1" customWidth="1"/>
    <col min="2823" max="2823" width="21.85546875" style="1" customWidth="1"/>
    <col min="2824" max="2825" width="9.140625" style="1"/>
    <col min="2826" max="2826" width="10.85546875" style="1" bestFit="1" customWidth="1"/>
    <col min="2827" max="2829" width="9.140625" style="1"/>
    <col min="2830" max="2830" width="9.42578125" style="1" bestFit="1" customWidth="1"/>
    <col min="2831" max="2831" width="9.85546875" style="1" bestFit="1" customWidth="1"/>
    <col min="2832" max="3072" width="9.140625" style="1"/>
    <col min="3073" max="3073" width="14.42578125" style="1" customWidth="1"/>
    <col min="3074" max="3074" width="27.42578125" style="1" customWidth="1"/>
    <col min="3075" max="3075" width="9.140625" style="1"/>
    <col min="3076" max="3076" width="12.7109375" style="1" customWidth="1"/>
    <col min="3077" max="3077" width="32.42578125" style="1" customWidth="1"/>
    <col min="3078" max="3078" width="19.140625" style="1" customWidth="1"/>
    <col min="3079" max="3079" width="21.85546875" style="1" customWidth="1"/>
    <col min="3080" max="3081" width="9.140625" style="1"/>
    <col min="3082" max="3082" width="10.85546875" style="1" bestFit="1" customWidth="1"/>
    <col min="3083" max="3085" width="9.140625" style="1"/>
    <col min="3086" max="3086" width="9.42578125" style="1" bestFit="1" customWidth="1"/>
    <col min="3087" max="3087" width="9.85546875" style="1" bestFit="1" customWidth="1"/>
    <col min="3088" max="3328" width="9.140625" style="1"/>
    <col min="3329" max="3329" width="14.42578125" style="1" customWidth="1"/>
    <col min="3330" max="3330" width="27.42578125" style="1" customWidth="1"/>
    <col min="3331" max="3331" width="9.140625" style="1"/>
    <col min="3332" max="3332" width="12.7109375" style="1" customWidth="1"/>
    <col min="3333" max="3333" width="32.42578125" style="1" customWidth="1"/>
    <col min="3334" max="3334" width="19.140625" style="1" customWidth="1"/>
    <col min="3335" max="3335" width="21.85546875" style="1" customWidth="1"/>
    <col min="3336" max="3337" width="9.140625" style="1"/>
    <col min="3338" max="3338" width="10.85546875" style="1" bestFit="1" customWidth="1"/>
    <col min="3339" max="3341" width="9.140625" style="1"/>
    <col min="3342" max="3342" width="9.42578125" style="1" bestFit="1" customWidth="1"/>
    <col min="3343" max="3343" width="9.85546875" style="1" bestFit="1" customWidth="1"/>
    <col min="3344" max="3584" width="9.140625" style="1"/>
    <col min="3585" max="3585" width="14.42578125" style="1" customWidth="1"/>
    <col min="3586" max="3586" width="27.42578125" style="1" customWidth="1"/>
    <col min="3587" max="3587" width="9.140625" style="1"/>
    <col min="3588" max="3588" width="12.7109375" style="1" customWidth="1"/>
    <col min="3589" max="3589" width="32.42578125" style="1" customWidth="1"/>
    <col min="3590" max="3590" width="19.140625" style="1" customWidth="1"/>
    <col min="3591" max="3591" width="21.85546875" style="1" customWidth="1"/>
    <col min="3592" max="3593" width="9.140625" style="1"/>
    <col min="3594" max="3594" width="10.85546875" style="1" bestFit="1" customWidth="1"/>
    <col min="3595" max="3597" width="9.140625" style="1"/>
    <col min="3598" max="3598" width="9.42578125" style="1" bestFit="1" customWidth="1"/>
    <col min="3599" max="3599" width="9.85546875" style="1" bestFit="1" customWidth="1"/>
    <col min="3600" max="3840" width="9.140625" style="1"/>
    <col min="3841" max="3841" width="14.42578125" style="1" customWidth="1"/>
    <col min="3842" max="3842" width="27.42578125" style="1" customWidth="1"/>
    <col min="3843" max="3843" width="9.140625" style="1"/>
    <col min="3844" max="3844" width="12.7109375" style="1" customWidth="1"/>
    <col min="3845" max="3845" width="32.42578125" style="1" customWidth="1"/>
    <col min="3846" max="3846" width="19.140625" style="1" customWidth="1"/>
    <col min="3847" max="3847" width="21.85546875" style="1" customWidth="1"/>
    <col min="3848" max="3849" width="9.140625" style="1"/>
    <col min="3850" max="3850" width="10.85546875" style="1" bestFit="1" customWidth="1"/>
    <col min="3851" max="3853" width="9.140625" style="1"/>
    <col min="3854" max="3854" width="9.42578125" style="1" bestFit="1" customWidth="1"/>
    <col min="3855" max="3855" width="9.85546875" style="1" bestFit="1" customWidth="1"/>
    <col min="3856" max="4096" width="9.140625" style="1"/>
    <col min="4097" max="4097" width="14.42578125" style="1" customWidth="1"/>
    <col min="4098" max="4098" width="27.42578125" style="1" customWidth="1"/>
    <col min="4099" max="4099" width="9.140625" style="1"/>
    <col min="4100" max="4100" width="12.7109375" style="1" customWidth="1"/>
    <col min="4101" max="4101" width="32.42578125" style="1" customWidth="1"/>
    <col min="4102" max="4102" width="19.140625" style="1" customWidth="1"/>
    <col min="4103" max="4103" width="21.85546875" style="1" customWidth="1"/>
    <col min="4104" max="4105" width="9.140625" style="1"/>
    <col min="4106" max="4106" width="10.85546875" style="1" bestFit="1" customWidth="1"/>
    <col min="4107" max="4109" width="9.140625" style="1"/>
    <col min="4110" max="4110" width="9.42578125" style="1" bestFit="1" customWidth="1"/>
    <col min="4111" max="4111" width="9.85546875" style="1" bestFit="1" customWidth="1"/>
    <col min="4112" max="4352" width="9.140625" style="1"/>
    <col min="4353" max="4353" width="14.42578125" style="1" customWidth="1"/>
    <col min="4354" max="4354" width="27.42578125" style="1" customWidth="1"/>
    <col min="4355" max="4355" width="9.140625" style="1"/>
    <col min="4356" max="4356" width="12.7109375" style="1" customWidth="1"/>
    <col min="4357" max="4357" width="32.42578125" style="1" customWidth="1"/>
    <col min="4358" max="4358" width="19.140625" style="1" customWidth="1"/>
    <col min="4359" max="4359" width="21.85546875" style="1" customWidth="1"/>
    <col min="4360" max="4361" width="9.140625" style="1"/>
    <col min="4362" max="4362" width="10.85546875" style="1" bestFit="1" customWidth="1"/>
    <col min="4363" max="4365" width="9.140625" style="1"/>
    <col min="4366" max="4366" width="9.42578125" style="1" bestFit="1" customWidth="1"/>
    <col min="4367" max="4367" width="9.85546875" style="1" bestFit="1" customWidth="1"/>
    <col min="4368" max="4608" width="9.140625" style="1"/>
    <col min="4609" max="4609" width="14.42578125" style="1" customWidth="1"/>
    <col min="4610" max="4610" width="27.42578125" style="1" customWidth="1"/>
    <col min="4611" max="4611" width="9.140625" style="1"/>
    <col min="4612" max="4612" width="12.7109375" style="1" customWidth="1"/>
    <col min="4613" max="4613" width="32.42578125" style="1" customWidth="1"/>
    <col min="4614" max="4614" width="19.140625" style="1" customWidth="1"/>
    <col min="4615" max="4615" width="21.85546875" style="1" customWidth="1"/>
    <col min="4616" max="4617" width="9.140625" style="1"/>
    <col min="4618" max="4618" width="10.85546875" style="1" bestFit="1" customWidth="1"/>
    <col min="4619" max="4621" width="9.140625" style="1"/>
    <col min="4622" max="4622" width="9.42578125" style="1" bestFit="1" customWidth="1"/>
    <col min="4623" max="4623" width="9.85546875" style="1" bestFit="1" customWidth="1"/>
    <col min="4624" max="4864" width="9.140625" style="1"/>
    <col min="4865" max="4865" width="14.42578125" style="1" customWidth="1"/>
    <col min="4866" max="4866" width="27.42578125" style="1" customWidth="1"/>
    <col min="4867" max="4867" width="9.140625" style="1"/>
    <col min="4868" max="4868" width="12.7109375" style="1" customWidth="1"/>
    <col min="4869" max="4869" width="32.42578125" style="1" customWidth="1"/>
    <col min="4870" max="4870" width="19.140625" style="1" customWidth="1"/>
    <col min="4871" max="4871" width="21.85546875" style="1" customWidth="1"/>
    <col min="4872" max="4873" width="9.140625" style="1"/>
    <col min="4874" max="4874" width="10.85546875" style="1" bestFit="1" customWidth="1"/>
    <col min="4875" max="4877" width="9.140625" style="1"/>
    <col min="4878" max="4878" width="9.42578125" style="1" bestFit="1" customWidth="1"/>
    <col min="4879" max="4879" width="9.85546875" style="1" bestFit="1" customWidth="1"/>
    <col min="4880" max="5120" width="9.140625" style="1"/>
    <col min="5121" max="5121" width="14.42578125" style="1" customWidth="1"/>
    <col min="5122" max="5122" width="27.42578125" style="1" customWidth="1"/>
    <col min="5123" max="5123" width="9.140625" style="1"/>
    <col min="5124" max="5124" width="12.7109375" style="1" customWidth="1"/>
    <col min="5125" max="5125" width="32.42578125" style="1" customWidth="1"/>
    <col min="5126" max="5126" width="19.140625" style="1" customWidth="1"/>
    <col min="5127" max="5127" width="21.85546875" style="1" customWidth="1"/>
    <col min="5128" max="5129" width="9.140625" style="1"/>
    <col min="5130" max="5130" width="10.85546875" style="1" bestFit="1" customWidth="1"/>
    <col min="5131" max="5133" width="9.140625" style="1"/>
    <col min="5134" max="5134" width="9.42578125" style="1" bestFit="1" customWidth="1"/>
    <col min="5135" max="5135" width="9.85546875" style="1" bestFit="1" customWidth="1"/>
    <col min="5136" max="5376" width="9.140625" style="1"/>
    <col min="5377" max="5377" width="14.42578125" style="1" customWidth="1"/>
    <col min="5378" max="5378" width="27.42578125" style="1" customWidth="1"/>
    <col min="5379" max="5379" width="9.140625" style="1"/>
    <col min="5380" max="5380" width="12.7109375" style="1" customWidth="1"/>
    <col min="5381" max="5381" width="32.42578125" style="1" customWidth="1"/>
    <col min="5382" max="5382" width="19.140625" style="1" customWidth="1"/>
    <col min="5383" max="5383" width="21.85546875" style="1" customWidth="1"/>
    <col min="5384" max="5385" width="9.140625" style="1"/>
    <col min="5386" max="5386" width="10.85546875" style="1" bestFit="1" customWidth="1"/>
    <col min="5387" max="5389" width="9.140625" style="1"/>
    <col min="5390" max="5390" width="9.42578125" style="1" bestFit="1" customWidth="1"/>
    <col min="5391" max="5391" width="9.85546875" style="1" bestFit="1" customWidth="1"/>
    <col min="5392" max="5632" width="9.140625" style="1"/>
    <col min="5633" max="5633" width="14.42578125" style="1" customWidth="1"/>
    <col min="5634" max="5634" width="27.42578125" style="1" customWidth="1"/>
    <col min="5635" max="5635" width="9.140625" style="1"/>
    <col min="5636" max="5636" width="12.7109375" style="1" customWidth="1"/>
    <col min="5637" max="5637" width="32.42578125" style="1" customWidth="1"/>
    <col min="5638" max="5638" width="19.140625" style="1" customWidth="1"/>
    <col min="5639" max="5639" width="21.85546875" style="1" customWidth="1"/>
    <col min="5640" max="5641" width="9.140625" style="1"/>
    <col min="5642" max="5642" width="10.85546875" style="1" bestFit="1" customWidth="1"/>
    <col min="5643" max="5645" width="9.140625" style="1"/>
    <col min="5646" max="5646" width="9.42578125" style="1" bestFit="1" customWidth="1"/>
    <col min="5647" max="5647" width="9.85546875" style="1" bestFit="1" customWidth="1"/>
    <col min="5648" max="5888" width="9.140625" style="1"/>
    <col min="5889" max="5889" width="14.42578125" style="1" customWidth="1"/>
    <col min="5890" max="5890" width="27.42578125" style="1" customWidth="1"/>
    <col min="5891" max="5891" width="9.140625" style="1"/>
    <col min="5892" max="5892" width="12.7109375" style="1" customWidth="1"/>
    <col min="5893" max="5893" width="32.42578125" style="1" customWidth="1"/>
    <col min="5894" max="5894" width="19.140625" style="1" customWidth="1"/>
    <col min="5895" max="5895" width="21.85546875" style="1" customWidth="1"/>
    <col min="5896" max="5897" width="9.140625" style="1"/>
    <col min="5898" max="5898" width="10.85546875" style="1" bestFit="1" customWidth="1"/>
    <col min="5899" max="5901" width="9.140625" style="1"/>
    <col min="5902" max="5902" width="9.42578125" style="1" bestFit="1" customWidth="1"/>
    <col min="5903" max="5903" width="9.85546875" style="1" bestFit="1" customWidth="1"/>
    <col min="5904" max="6144" width="9.140625" style="1"/>
    <col min="6145" max="6145" width="14.42578125" style="1" customWidth="1"/>
    <col min="6146" max="6146" width="27.42578125" style="1" customWidth="1"/>
    <col min="6147" max="6147" width="9.140625" style="1"/>
    <col min="6148" max="6148" width="12.7109375" style="1" customWidth="1"/>
    <col min="6149" max="6149" width="32.42578125" style="1" customWidth="1"/>
    <col min="6150" max="6150" width="19.140625" style="1" customWidth="1"/>
    <col min="6151" max="6151" width="21.85546875" style="1" customWidth="1"/>
    <col min="6152" max="6153" width="9.140625" style="1"/>
    <col min="6154" max="6154" width="10.85546875" style="1" bestFit="1" customWidth="1"/>
    <col min="6155" max="6157" width="9.140625" style="1"/>
    <col min="6158" max="6158" width="9.42578125" style="1" bestFit="1" customWidth="1"/>
    <col min="6159" max="6159" width="9.85546875" style="1" bestFit="1" customWidth="1"/>
    <col min="6160" max="6400" width="9.140625" style="1"/>
    <col min="6401" max="6401" width="14.42578125" style="1" customWidth="1"/>
    <col min="6402" max="6402" width="27.42578125" style="1" customWidth="1"/>
    <col min="6403" max="6403" width="9.140625" style="1"/>
    <col min="6404" max="6404" width="12.7109375" style="1" customWidth="1"/>
    <col min="6405" max="6405" width="32.42578125" style="1" customWidth="1"/>
    <col min="6406" max="6406" width="19.140625" style="1" customWidth="1"/>
    <col min="6407" max="6407" width="21.85546875" style="1" customWidth="1"/>
    <col min="6408" max="6409" width="9.140625" style="1"/>
    <col min="6410" max="6410" width="10.85546875" style="1" bestFit="1" customWidth="1"/>
    <col min="6411" max="6413" width="9.140625" style="1"/>
    <col min="6414" max="6414" width="9.42578125" style="1" bestFit="1" customWidth="1"/>
    <col min="6415" max="6415" width="9.85546875" style="1" bestFit="1" customWidth="1"/>
    <col min="6416" max="6656" width="9.140625" style="1"/>
    <col min="6657" max="6657" width="14.42578125" style="1" customWidth="1"/>
    <col min="6658" max="6658" width="27.42578125" style="1" customWidth="1"/>
    <col min="6659" max="6659" width="9.140625" style="1"/>
    <col min="6660" max="6660" width="12.7109375" style="1" customWidth="1"/>
    <col min="6661" max="6661" width="32.42578125" style="1" customWidth="1"/>
    <col min="6662" max="6662" width="19.140625" style="1" customWidth="1"/>
    <col min="6663" max="6663" width="21.85546875" style="1" customWidth="1"/>
    <col min="6664" max="6665" width="9.140625" style="1"/>
    <col min="6666" max="6666" width="10.85546875" style="1" bestFit="1" customWidth="1"/>
    <col min="6667" max="6669" width="9.140625" style="1"/>
    <col min="6670" max="6670" width="9.42578125" style="1" bestFit="1" customWidth="1"/>
    <col min="6671" max="6671" width="9.85546875" style="1" bestFit="1" customWidth="1"/>
    <col min="6672" max="6912" width="9.140625" style="1"/>
    <col min="6913" max="6913" width="14.42578125" style="1" customWidth="1"/>
    <col min="6914" max="6914" width="27.42578125" style="1" customWidth="1"/>
    <col min="6915" max="6915" width="9.140625" style="1"/>
    <col min="6916" max="6916" width="12.7109375" style="1" customWidth="1"/>
    <col min="6917" max="6917" width="32.42578125" style="1" customWidth="1"/>
    <col min="6918" max="6918" width="19.140625" style="1" customWidth="1"/>
    <col min="6919" max="6919" width="21.85546875" style="1" customWidth="1"/>
    <col min="6920" max="6921" width="9.140625" style="1"/>
    <col min="6922" max="6922" width="10.85546875" style="1" bestFit="1" customWidth="1"/>
    <col min="6923" max="6925" width="9.140625" style="1"/>
    <col min="6926" max="6926" width="9.42578125" style="1" bestFit="1" customWidth="1"/>
    <col min="6927" max="6927" width="9.85546875" style="1" bestFit="1" customWidth="1"/>
    <col min="6928" max="7168" width="9.140625" style="1"/>
    <col min="7169" max="7169" width="14.42578125" style="1" customWidth="1"/>
    <col min="7170" max="7170" width="27.42578125" style="1" customWidth="1"/>
    <col min="7171" max="7171" width="9.140625" style="1"/>
    <col min="7172" max="7172" width="12.7109375" style="1" customWidth="1"/>
    <col min="7173" max="7173" width="32.42578125" style="1" customWidth="1"/>
    <col min="7174" max="7174" width="19.140625" style="1" customWidth="1"/>
    <col min="7175" max="7175" width="21.85546875" style="1" customWidth="1"/>
    <col min="7176" max="7177" width="9.140625" style="1"/>
    <col min="7178" max="7178" width="10.85546875" style="1" bestFit="1" customWidth="1"/>
    <col min="7179" max="7181" width="9.140625" style="1"/>
    <col min="7182" max="7182" width="9.42578125" style="1" bestFit="1" customWidth="1"/>
    <col min="7183" max="7183" width="9.85546875" style="1" bestFit="1" customWidth="1"/>
    <col min="7184" max="7424" width="9.140625" style="1"/>
    <col min="7425" max="7425" width="14.42578125" style="1" customWidth="1"/>
    <col min="7426" max="7426" width="27.42578125" style="1" customWidth="1"/>
    <col min="7427" max="7427" width="9.140625" style="1"/>
    <col min="7428" max="7428" width="12.7109375" style="1" customWidth="1"/>
    <col min="7429" max="7429" width="32.42578125" style="1" customWidth="1"/>
    <col min="7430" max="7430" width="19.140625" style="1" customWidth="1"/>
    <col min="7431" max="7431" width="21.85546875" style="1" customWidth="1"/>
    <col min="7432" max="7433" width="9.140625" style="1"/>
    <col min="7434" max="7434" width="10.85546875" style="1" bestFit="1" customWidth="1"/>
    <col min="7435" max="7437" width="9.140625" style="1"/>
    <col min="7438" max="7438" width="9.42578125" style="1" bestFit="1" customWidth="1"/>
    <col min="7439" max="7439" width="9.85546875" style="1" bestFit="1" customWidth="1"/>
    <col min="7440" max="7680" width="9.140625" style="1"/>
    <col min="7681" max="7681" width="14.42578125" style="1" customWidth="1"/>
    <col min="7682" max="7682" width="27.42578125" style="1" customWidth="1"/>
    <col min="7683" max="7683" width="9.140625" style="1"/>
    <col min="7684" max="7684" width="12.7109375" style="1" customWidth="1"/>
    <col min="7685" max="7685" width="32.42578125" style="1" customWidth="1"/>
    <col min="7686" max="7686" width="19.140625" style="1" customWidth="1"/>
    <col min="7687" max="7687" width="21.85546875" style="1" customWidth="1"/>
    <col min="7688" max="7689" width="9.140625" style="1"/>
    <col min="7690" max="7690" width="10.85546875" style="1" bestFit="1" customWidth="1"/>
    <col min="7691" max="7693" width="9.140625" style="1"/>
    <col min="7694" max="7694" width="9.42578125" style="1" bestFit="1" customWidth="1"/>
    <col min="7695" max="7695" width="9.85546875" style="1" bestFit="1" customWidth="1"/>
    <col min="7696" max="7936" width="9.140625" style="1"/>
    <col min="7937" max="7937" width="14.42578125" style="1" customWidth="1"/>
    <col min="7938" max="7938" width="27.42578125" style="1" customWidth="1"/>
    <col min="7939" max="7939" width="9.140625" style="1"/>
    <col min="7940" max="7940" width="12.7109375" style="1" customWidth="1"/>
    <col min="7941" max="7941" width="32.42578125" style="1" customWidth="1"/>
    <col min="7942" max="7942" width="19.140625" style="1" customWidth="1"/>
    <col min="7943" max="7943" width="21.85546875" style="1" customWidth="1"/>
    <col min="7944" max="7945" width="9.140625" style="1"/>
    <col min="7946" max="7946" width="10.85546875" style="1" bestFit="1" customWidth="1"/>
    <col min="7947" max="7949" width="9.140625" style="1"/>
    <col min="7950" max="7950" width="9.42578125" style="1" bestFit="1" customWidth="1"/>
    <col min="7951" max="7951" width="9.85546875" style="1" bestFit="1" customWidth="1"/>
    <col min="7952" max="8192" width="9.140625" style="1"/>
    <col min="8193" max="8193" width="14.42578125" style="1" customWidth="1"/>
    <col min="8194" max="8194" width="27.42578125" style="1" customWidth="1"/>
    <col min="8195" max="8195" width="9.140625" style="1"/>
    <col min="8196" max="8196" width="12.7109375" style="1" customWidth="1"/>
    <col min="8197" max="8197" width="32.42578125" style="1" customWidth="1"/>
    <col min="8198" max="8198" width="19.140625" style="1" customWidth="1"/>
    <col min="8199" max="8199" width="21.85546875" style="1" customWidth="1"/>
    <col min="8200" max="8201" width="9.140625" style="1"/>
    <col min="8202" max="8202" width="10.85546875" style="1" bestFit="1" customWidth="1"/>
    <col min="8203" max="8205" width="9.140625" style="1"/>
    <col min="8206" max="8206" width="9.42578125" style="1" bestFit="1" customWidth="1"/>
    <col min="8207" max="8207" width="9.85546875" style="1" bestFit="1" customWidth="1"/>
    <col min="8208" max="8448" width="9.140625" style="1"/>
    <col min="8449" max="8449" width="14.42578125" style="1" customWidth="1"/>
    <col min="8450" max="8450" width="27.42578125" style="1" customWidth="1"/>
    <col min="8451" max="8451" width="9.140625" style="1"/>
    <col min="8452" max="8452" width="12.7109375" style="1" customWidth="1"/>
    <col min="8453" max="8453" width="32.42578125" style="1" customWidth="1"/>
    <col min="8454" max="8454" width="19.140625" style="1" customWidth="1"/>
    <col min="8455" max="8455" width="21.85546875" style="1" customWidth="1"/>
    <col min="8456" max="8457" width="9.140625" style="1"/>
    <col min="8458" max="8458" width="10.85546875" style="1" bestFit="1" customWidth="1"/>
    <col min="8459" max="8461" width="9.140625" style="1"/>
    <col min="8462" max="8462" width="9.42578125" style="1" bestFit="1" customWidth="1"/>
    <col min="8463" max="8463" width="9.85546875" style="1" bestFit="1" customWidth="1"/>
    <col min="8464" max="8704" width="9.140625" style="1"/>
    <col min="8705" max="8705" width="14.42578125" style="1" customWidth="1"/>
    <col min="8706" max="8706" width="27.42578125" style="1" customWidth="1"/>
    <col min="8707" max="8707" width="9.140625" style="1"/>
    <col min="8708" max="8708" width="12.7109375" style="1" customWidth="1"/>
    <col min="8709" max="8709" width="32.42578125" style="1" customWidth="1"/>
    <col min="8710" max="8710" width="19.140625" style="1" customWidth="1"/>
    <col min="8711" max="8711" width="21.85546875" style="1" customWidth="1"/>
    <col min="8712" max="8713" width="9.140625" style="1"/>
    <col min="8714" max="8714" width="10.85546875" style="1" bestFit="1" customWidth="1"/>
    <col min="8715" max="8717" width="9.140625" style="1"/>
    <col min="8718" max="8718" width="9.42578125" style="1" bestFit="1" customWidth="1"/>
    <col min="8719" max="8719" width="9.85546875" style="1" bestFit="1" customWidth="1"/>
    <col min="8720" max="8960" width="9.140625" style="1"/>
    <col min="8961" max="8961" width="14.42578125" style="1" customWidth="1"/>
    <col min="8962" max="8962" width="27.42578125" style="1" customWidth="1"/>
    <col min="8963" max="8963" width="9.140625" style="1"/>
    <col min="8964" max="8964" width="12.7109375" style="1" customWidth="1"/>
    <col min="8965" max="8965" width="32.42578125" style="1" customWidth="1"/>
    <col min="8966" max="8966" width="19.140625" style="1" customWidth="1"/>
    <col min="8967" max="8967" width="21.85546875" style="1" customWidth="1"/>
    <col min="8968" max="8969" width="9.140625" style="1"/>
    <col min="8970" max="8970" width="10.85546875" style="1" bestFit="1" customWidth="1"/>
    <col min="8971" max="8973" width="9.140625" style="1"/>
    <col min="8974" max="8974" width="9.42578125" style="1" bestFit="1" customWidth="1"/>
    <col min="8975" max="8975" width="9.85546875" style="1" bestFit="1" customWidth="1"/>
    <col min="8976" max="9216" width="9.140625" style="1"/>
    <col min="9217" max="9217" width="14.42578125" style="1" customWidth="1"/>
    <col min="9218" max="9218" width="27.42578125" style="1" customWidth="1"/>
    <col min="9219" max="9219" width="9.140625" style="1"/>
    <col min="9220" max="9220" width="12.7109375" style="1" customWidth="1"/>
    <col min="9221" max="9221" width="32.42578125" style="1" customWidth="1"/>
    <col min="9222" max="9222" width="19.140625" style="1" customWidth="1"/>
    <col min="9223" max="9223" width="21.85546875" style="1" customWidth="1"/>
    <col min="9224" max="9225" width="9.140625" style="1"/>
    <col min="9226" max="9226" width="10.85546875" style="1" bestFit="1" customWidth="1"/>
    <col min="9227" max="9229" width="9.140625" style="1"/>
    <col min="9230" max="9230" width="9.42578125" style="1" bestFit="1" customWidth="1"/>
    <col min="9231" max="9231" width="9.85546875" style="1" bestFit="1" customWidth="1"/>
    <col min="9232" max="9472" width="9.140625" style="1"/>
    <col min="9473" max="9473" width="14.42578125" style="1" customWidth="1"/>
    <col min="9474" max="9474" width="27.42578125" style="1" customWidth="1"/>
    <col min="9475" max="9475" width="9.140625" style="1"/>
    <col min="9476" max="9476" width="12.7109375" style="1" customWidth="1"/>
    <col min="9477" max="9477" width="32.42578125" style="1" customWidth="1"/>
    <col min="9478" max="9478" width="19.140625" style="1" customWidth="1"/>
    <col min="9479" max="9479" width="21.85546875" style="1" customWidth="1"/>
    <col min="9480" max="9481" width="9.140625" style="1"/>
    <col min="9482" max="9482" width="10.85546875" style="1" bestFit="1" customWidth="1"/>
    <col min="9483" max="9485" width="9.140625" style="1"/>
    <col min="9486" max="9486" width="9.42578125" style="1" bestFit="1" customWidth="1"/>
    <col min="9487" max="9487" width="9.85546875" style="1" bestFit="1" customWidth="1"/>
    <col min="9488" max="9728" width="9.140625" style="1"/>
    <col min="9729" max="9729" width="14.42578125" style="1" customWidth="1"/>
    <col min="9730" max="9730" width="27.42578125" style="1" customWidth="1"/>
    <col min="9731" max="9731" width="9.140625" style="1"/>
    <col min="9732" max="9732" width="12.7109375" style="1" customWidth="1"/>
    <col min="9733" max="9733" width="32.42578125" style="1" customWidth="1"/>
    <col min="9734" max="9734" width="19.140625" style="1" customWidth="1"/>
    <col min="9735" max="9735" width="21.85546875" style="1" customWidth="1"/>
    <col min="9736" max="9737" width="9.140625" style="1"/>
    <col min="9738" max="9738" width="10.85546875" style="1" bestFit="1" customWidth="1"/>
    <col min="9739" max="9741" width="9.140625" style="1"/>
    <col min="9742" max="9742" width="9.42578125" style="1" bestFit="1" customWidth="1"/>
    <col min="9743" max="9743" width="9.85546875" style="1" bestFit="1" customWidth="1"/>
    <col min="9744" max="9984" width="9.140625" style="1"/>
    <col min="9985" max="9985" width="14.42578125" style="1" customWidth="1"/>
    <col min="9986" max="9986" width="27.42578125" style="1" customWidth="1"/>
    <col min="9987" max="9987" width="9.140625" style="1"/>
    <col min="9988" max="9988" width="12.7109375" style="1" customWidth="1"/>
    <col min="9989" max="9989" width="32.42578125" style="1" customWidth="1"/>
    <col min="9990" max="9990" width="19.140625" style="1" customWidth="1"/>
    <col min="9991" max="9991" width="21.85546875" style="1" customWidth="1"/>
    <col min="9992" max="9993" width="9.140625" style="1"/>
    <col min="9994" max="9994" width="10.85546875" style="1" bestFit="1" customWidth="1"/>
    <col min="9995" max="9997" width="9.140625" style="1"/>
    <col min="9998" max="9998" width="9.42578125" style="1" bestFit="1" customWidth="1"/>
    <col min="9999" max="9999" width="9.85546875" style="1" bestFit="1" customWidth="1"/>
    <col min="10000" max="10240" width="9.140625" style="1"/>
    <col min="10241" max="10241" width="14.42578125" style="1" customWidth="1"/>
    <col min="10242" max="10242" width="27.42578125" style="1" customWidth="1"/>
    <col min="10243" max="10243" width="9.140625" style="1"/>
    <col min="10244" max="10244" width="12.7109375" style="1" customWidth="1"/>
    <col min="10245" max="10245" width="32.42578125" style="1" customWidth="1"/>
    <col min="10246" max="10246" width="19.140625" style="1" customWidth="1"/>
    <col min="10247" max="10247" width="21.85546875" style="1" customWidth="1"/>
    <col min="10248" max="10249" width="9.140625" style="1"/>
    <col min="10250" max="10250" width="10.85546875" style="1" bestFit="1" customWidth="1"/>
    <col min="10251" max="10253" width="9.140625" style="1"/>
    <col min="10254" max="10254" width="9.42578125" style="1" bestFit="1" customWidth="1"/>
    <col min="10255" max="10255" width="9.85546875" style="1" bestFit="1" customWidth="1"/>
    <col min="10256" max="10496" width="9.140625" style="1"/>
    <col min="10497" max="10497" width="14.42578125" style="1" customWidth="1"/>
    <col min="10498" max="10498" width="27.42578125" style="1" customWidth="1"/>
    <col min="10499" max="10499" width="9.140625" style="1"/>
    <col min="10500" max="10500" width="12.7109375" style="1" customWidth="1"/>
    <col min="10501" max="10501" width="32.42578125" style="1" customWidth="1"/>
    <col min="10502" max="10502" width="19.140625" style="1" customWidth="1"/>
    <col min="10503" max="10503" width="21.85546875" style="1" customWidth="1"/>
    <col min="10504" max="10505" width="9.140625" style="1"/>
    <col min="10506" max="10506" width="10.85546875" style="1" bestFit="1" customWidth="1"/>
    <col min="10507" max="10509" width="9.140625" style="1"/>
    <col min="10510" max="10510" width="9.42578125" style="1" bestFit="1" customWidth="1"/>
    <col min="10511" max="10511" width="9.85546875" style="1" bestFit="1" customWidth="1"/>
    <col min="10512" max="10752" width="9.140625" style="1"/>
    <col min="10753" max="10753" width="14.42578125" style="1" customWidth="1"/>
    <col min="10754" max="10754" width="27.42578125" style="1" customWidth="1"/>
    <col min="10755" max="10755" width="9.140625" style="1"/>
    <col min="10756" max="10756" width="12.7109375" style="1" customWidth="1"/>
    <col min="10757" max="10757" width="32.42578125" style="1" customWidth="1"/>
    <col min="10758" max="10758" width="19.140625" style="1" customWidth="1"/>
    <col min="10759" max="10759" width="21.85546875" style="1" customWidth="1"/>
    <col min="10760" max="10761" width="9.140625" style="1"/>
    <col min="10762" max="10762" width="10.85546875" style="1" bestFit="1" customWidth="1"/>
    <col min="10763" max="10765" width="9.140625" style="1"/>
    <col min="10766" max="10766" width="9.42578125" style="1" bestFit="1" customWidth="1"/>
    <col min="10767" max="10767" width="9.85546875" style="1" bestFit="1" customWidth="1"/>
    <col min="10768" max="11008" width="9.140625" style="1"/>
    <col min="11009" max="11009" width="14.42578125" style="1" customWidth="1"/>
    <col min="11010" max="11010" width="27.42578125" style="1" customWidth="1"/>
    <col min="11011" max="11011" width="9.140625" style="1"/>
    <col min="11012" max="11012" width="12.7109375" style="1" customWidth="1"/>
    <col min="11013" max="11013" width="32.42578125" style="1" customWidth="1"/>
    <col min="11014" max="11014" width="19.140625" style="1" customWidth="1"/>
    <col min="11015" max="11015" width="21.85546875" style="1" customWidth="1"/>
    <col min="11016" max="11017" width="9.140625" style="1"/>
    <col min="11018" max="11018" width="10.85546875" style="1" bestFit="1" customWidth="1"/>
    <col min="11019" max="11021" width="9.140625" style="1"/>
    <col min="11022" max="11022" width="9.42578125" style="1" bestFit="1" customWidth="1"/>
    <col min="11023" max="11023" width="9.85546875" style="1" bestFit="1" customWidth="1"/>
    <col min="11024" max="11264" width="9.140625" style="1"/>
    <col min="11265" max="11265" width="14.42578125" style="1" customWidth="1"/>
    <col min="11266" max="11266" width="27.42578125" style="1" customWidth="1"/>
    <col min="11267" max="11267" width="9.140625" style="1"/>
    <col min="11268" max="11268" width="12.7109375" style="1" customWidth="1"/>
    <col min="11269" max="11269" width="32.42578125" style="1" customWidth="1"/>
    <col min="11270" max="11270" width="19.140625" style="1" customWidth="1"/>
    <col min="11271" max="11271" width="21.85546875" style="1" customWidth="1"/>
    <col min="11272" max="11273" width="9.140625" style="1"/>
    <col min="11274" max="11274" width="10.85546875" style="1" bestFit="1" customWidth="1"/>
    <col min="11275" max="11277" width="9.140625" style="1"/>
    <col min="11278" max="11278" width="9.42578125" style="1" bestFit="1" customWidth="1"/>
    <col min="11279" max="11279" width="9.85546875" style="1" bestFit="1" customWidth="1"/>
    <col min="11280" max="11520" width="9.140625" style="1"/>
    <col min="11521" max="11521" width="14.42578125" style="1" customWidth="1"/>
    <col min="11522" max="11522" width="27.42578125" style="1" customWidth="1"/>
    <col min="11523" max="11523" width="9.140625" style="1"/>
    <col min="11524" max="11524" width="12.7109375" style="1" customWidth="1"/>
    <col min="11525" max="11525" width="32.42578125" style="1" customWidth="1"/>
    <col min="11526" max="11526" width="19.140625" style="1" customWidth="1"/>
    <col min="11527" max="11527" width="21.85546875" style="1" customWidth="1"/>
    <col min="11528" max="11529" width="9.140625" style="1"/>
    <col min="11530" max="11530" width="10.85546875" style="1" bestFit="1" customWidth="1"/>
    <col min="11531" max="11533" width="9.140625" style="1"/>
    <col min="11534" max="11534" width="9.42578125" style="1" bestFit="1" customWidth="1"/>
    <col min="11535" max="11535" width="9.85546875" style="1" bestFit="1" customWidth="1"/>
    <col min="11536" max="11776" width="9.140625" style="1"/>
    <col min="11777" max="11777" width="14.42578125" style="1" customWidth="1"/>
    <col min="11778" max="11778" width="27.42578125" style="1" customWidth="1"/>
    <col min="11779" max="11779" width="9.140625" style="1"/>
    <col min="11780" max="11780" width="12.7109375" style="1" customWidth="1"/>
    <col min="11781" max="11781" width="32.42578125" style="1" customWidth="1"/>
    <col min="11782" max="11782" width="19.140625" style="1" customWidth="1"/>
    <col min="11783" max="11783" width="21.85546875" style="1" customWidth="1"/>
    <col min="11784" max="11785" width="9.140625" style="1"/>
    <col min="11786" max="11786" width="10.85546875" style="1" bestFit="1" customWidth="1"/>
    <col min="11787" max="11789" width="9.140625" style="1"/>
    <col min="11790" max="11790" width="9.42578125" style="1" bestFit="1" customWidth="1"/>
    <col min="11791" max="11791" width="9.85546875" style="1" bestFit="1" customWidth="1"/>
    <col min="11792" max="12032" width="9.140625" style="1"/>
    <col min="12033" max="12033" width="14.42578125" style="1" customWidth="1"/>
    <col min="12034" max="12034" width="27.42578125" style="1" customWidth="1"/>
    <col min="12035" max="12035" width="9.140625" style="1"/>
    <col min="12036" max="12036" width="12.7109375" style="1" customWidth="1"/>
    <col min="12037" max="12037" width="32.42578125" style="1" customWidth="1"/>
    <col min="12038" max="12038" width="19.140625" style="1" customWidth="1"/>
    <col min="12039" max="12039" width="21.85546875" style="1" customWidth="1"/>
    <col min="12040" max="12041" width="9.140625" style="1"/>
    <col min="12042" max="12042" width="10.85546875" style="1" bestFit="1" customWidth="1"/>
    <col min="12043" max="12045" width="9.140625" style="1"/>
    <col min="12046" max="12046" width="9.42578125" style="1" bestFit="1" customWidth="1"/>
    <col min="12047" max="12047" width="9.85546875" style="1" bestFit="1" customWidth="1"/>
    <col min="12048" max="12288" width="9.140625" style="1"/>
    <col min="12289" max="12289" width="14.42578125" style="1" customWidth="1"/>
    <col min="12290" max="12290" width="27.42578125" style="1" customWidth="1"/>
    <col min="12291" max="12291" width="9.140625" style="1"/>
    <col min="12292" max="12292" width="12.7109375" style="1" customWidth="1"/>
    <col min="12293" max="12293" width="32.42578125" style="1" customWidth="1"/>
    <col min="12294" max="12294" width="19.140625" style="1" customWidth="1"/>
    <col min="12295" max="12295" width="21.85546875" style="1" customWidth="1"/>
    <col min="12296" max="12297" width="9.140625" style="1"/>
    <col min="12298" max="12298" width="10.85546875" style="1" bestFit="1" customWidth="1"/>
    <col min="12299" max="12301" width="9.140625" style="1"/>
    <col min="12302" max="12302" width="9.42578125" style="1" bestFit="1" customWidth="1"/>
    <col min="12303" max="12303" width="9.85546875" style="1" bestFit="1" customWidth="1"/>
    <col min="12304" max="12544" width="9.140625" style="1"/>
    <col min="12545" max="12545" width="14.42578125" style="1" customWidth="1"/>
    <col min="12546" max="12546" width="27.42578125" style="1" customWidth="1"/>
    <col min="12547" max="12547" width="9.140625" style="1"/>
    <col min="12548" max="12548" width="12.7109375" style="1" customWidth="1"/>
    <col min="12549" max="12549" width="32.42578125" style="1" customWidth="1"/>
    <col min="12550" max="12550" width="19.140625" style="1" customWidth="1"/>
    <col min="12551" max="12551" width="21.85546875" style="1" customWidth="1"/>
    <col min="12552" max="12553" width="9.140625" style="1"/>
    <col min="12554" max="12554" width="10.85546875" style="1" bestFit="1" customWidth="1"/>
    <col min="12555" max="12557" width="9.140625" style="1"/>
    <col min="12558" max="12558" width="9.42578125" style="1" bestFit="1" customWidth="1"/>
    <col min="12559" max="12559" width="9.85546875" style="1" bestFit="1" customWidth="1"/>
    <col min="12560" max="12800" width="9.140625" style="1"/>
    <col min="12801" max="12801" width="14.42578125" style="1" customWidth="1"/>
    <col min="12802" max="12802" width="27.42578125" style="1" customWidth="1"/>
    <col min="12803" max="12803" width="9.140625" style="1"/>
    <col min="12804" max="12804" width="12.7109375" style="1" customWidth="1"/>
    <col min="12805" max="12805" width="32.42578125" style="1" customWidth="1"/>
    <col min="12806" max="12806" width="19.140625" style="1" customWidth="1"/>
    <col min="12807" max="12807" width="21.85546875" style="1" customWidth="1"/>
    <col min="12808" max="12809" width="9.140625" style="1"/>
    <col min="12810" max="12810" width="10.85546875" style="1" bestFit="1" customWidth="1"/>
    <col min="12811" max="12813" width="9.140625" style="1"/>
    <col min="12814" max="12814" width="9.42578125" style="1" bestFit="1" customWidth="1"/>
    <col min="12815" max="12815" width="9.85546875" style="1" bestFit="1" customWidth="1"/>
    <col min="12816" max="13056" width="9.140625" style="1"/>
    <col min="13057" max="13057" width="14.42578125" style="1" customWidth="1"/>
    <col min="13058" max="13058" width="27.42578125" style="1" customWidth="1"/>
    <col min="13059" max="13059" width="9.140625" style="1"/>
    <col min="13060" max="13060" width="12.7109375" style="1" customWidth="1"/>
    <col min="13061" max="13061" width="32.42578125" style="1" customWidth="1"/>
    <col min="13062" max="13062" width="19.140625" style="1" customWidth="1"/>
    <col min="13063" max="13063" width="21.85546875" style="1" customWidth="1"/>
    <col min="13064" max="13065" width="9.140625" style="1"/>
    <col min="13066" max="13066" width="10.85546875" style="1" bestFit="1" customWidth="1"/>
    <col min="13067" max="13069" width="9.140625" style="1"/>
    <col min="13070" max="13070" width="9.42578125" style="1" bestFit="1" customWidth="1"/>
    <col min="13071" max="13071" width="9.85546875" style="1" bestFit="1" customWidth="1"/>
    <col min="13072" max="13312" width="9.140625" style="1"/>
    <col min="13313" max="13313" width="14.42578125" style="1" customWidth="1"/>
    <col min="13314" max="13314" width="27.42578125" style="1" customWidth="1"/>
    <col min="13315" max="13315" width="9.140625" style="1"/>
    <col min="13316" max="13316" width="12.7109375" style="1" customWidth="1"/>
    <col min="13317" max="13317" width="32.42578125" style="1" customWidth="1"/>
    <col min="13318" max="13318" width="19.140625" style="1" customWidth="1"/>
    <col min="13319" max="13319" width="21.85546875" style="1" customWidth="1"/>
    <col min="13320" max="13321" width="9.140625" style="1"/>
    <col min="13322" max="13322" width="10.85546875" style="1" bestFit="1" customWidth="1"/>
    <col min="13323" max="13325" width="9.140625" style="1"/>
    <col min="13326" max="13326" width="9.42578125" style="1" bestFit="1" customWidth="1"/>
    <col min="13327" max="13327" width="9.85546875" style="1" bestFit="1" customWidth="1"/>
    <col min="13328" max="13568" width="9.140625" style="1"/>
    <col min="13569" max="13569" width="14.42578125" style="1" customWidth="1"/>
    <col min="13570" max="13570" width="27.42578125" style="1" customWidth="1"/>
    <col min="13571" max="13571" width="9.140625" style="1"/>
    <col min="13572" max="13572" width="12.7109375" style="1" customWidth="1"/>
    <col min="13573" max="13573" width="32.42578125" style="1" customWidth="1"/>
    <col min="13574" max="13574" width="19.140625" style="1" customWidth="1"/>
    <col min="13575" max="13575" width="21.85546875" style="1" customWidth="1"/>
    <col min="13576" max="13577" width="9.140625" style="1"/>
    <col min="13578" max="13578" width="10.85546875" style="1" bestFit="1" customWidth="1"/>
    <col min="13579" max="13581" width="9.140625" style="1"/>
    <col min="13582" max="13582" width="9.42578125" style="1" bestFit="1" customWidth="1"/>
    <col min="13583" max="13583" width="9.85546875" style="1" bestFit="1" customWidth="1"/>
    <col min="13584" max="13824" width="9.140625" style="1"/>
    <col min="13825" max="13825" width="14.42578125" style="1" customWidth="1"/>
    <col min="13826" max="13826" width="27.42578125" style="1" customWidth="1"/>
    <col min="13827" max="13827" width="9.140625" style="1"/>
    <col min="13828" max="13828" width="12.7109375" style="1" customWidth="1"/>
    <col min="13829" max="13829" width="32.42578125" style="1" customWidth="1"/>
    <col min="13830" max="13830" width="19.140625" style="1" customWidth="1"/>
    <col min="13831" max="13831" width="21.85546875" style="1" customWidth="1"/>
    <col min="13832" max="13833" width="9.140625" style="1"/>
    <col min="13834" max="13834" width="10.85546875" style="1" bestFit="1" customWidth="1"/>
    <col min="13835" max="13837" width="9.140625" style="1"/>
    <col min="13838" max="13838" width="9.42578125" style="1" bestFit="1" customWidth="1"/>
    <col min="13839" max="13839" width="9.85546875" style="1" bestFit="1" customWidth="1"/>
    <col min="13840" max="14080" width="9.140625" style="1"/>
    <col min="14081" max="14081" width="14.42578125" style="1" customWidth="1"/>
    <col min="14082" max="14082" width="27.42578125" style="1" customWidth="1"/>
    <col min="14083" max="14083" width="9.140625" style="1"/>
    <col min="14084" max="14084" width="12.7109375" style="1" customWidth="1"/>
    <col min="14085" max="14085" width="32.42578125" style="1" customWidth="1"/>
    <col min="14086" max="14086" width="19.140625" style="1" customWidth="1"/>
    <col min="14087" max="14087" width="21.85546875" style="1" customWidth="1"/>
    <col min="14088" max="14089" width="9.140625" style="1"/>
    <col min="14090" max="14090" width="10.85546875" style="1" bestFit="1" customWidth="1"/>
    <col min="14091" max="14093" width="9.140625" style="1"/>
    <col min="14094" max="14094" width="9.42578125" style="1" bestFit="1" customWidth="1"/>
    <col min="14095" max="14095" width="9.85546875" style="1" bestFit="1" customWidth="1"/>
    <col min="14096" max="14336" width="9.140625" style="1"/>
    <col min="14337" max="14337" width="14.42578125" style="1" customWidth="1"/>
    <col min="14338" max="14338" width="27.42578125" style="1" customWidth="1"/>
    <col min="14339" max="14339" width="9.140625" style="1"/>
    <col min="14340" max="14340" width="12.7109375" style="1" customWidth="1"/>
    <col min="14341" max="14341" width="32.42578125" style="1" customWidth="1"/>
    <col min="14342" max="14342" width="19.140625" style="1" customWidth="1"/>
    <col min="14343" max="14343" width="21.85546875" style="1" customWidth="1"/>
    <col min="14344" max="14345" width="9.140625" style="1"/>
    <col min="14346" max="14346" width="10.85546875" style="1" bestFit="1" customWidth="1"/>
    <col min="14347" max="14349" width="9.140625" style="1"/>
    <col min="14350" max="14350" width="9.42578125" style="1" bestFit="1" customWidth="1"/>
    <col min="14351" max="14351" width="9.85546875" style="1" bestFit="1" customWidth="1"/>
    <col min="14352" max="14592" width="9.140625" style="1"/>
    <col min="14593" max="14593" width="14.42578125" style="1" customWidth="1"/>
    <col min="14594" max="14594" width="27.42578125" style="1" customWidth="1"/>
    <col min="14595" max="14595" width="9.140625" style="1"/>
    <col min="14596" max="14596" width="12.7109375" style="1" customWidth="1"/>
    <col min="14597" max="14597" width="32.42578125" style="1" customWidth="1"/>
    <col min="14598" max="14598" width="19.140625" style="1" customWidth="1"/>
    <col min="14599" max="14599" width="21.85546875" style="1" customWidth="1"/>
    <col min="14600" max="14601" width="9.140625" style="1"/>
    <col min="14602" max="14602" width="10.85546875" style="1" bestFit="1" customWidth="1"/>
    <col min="14603" max="14605" width="9.140625" style="1"/>
    <col min="14606" max="14606" width="9.42578125" style="1" bestFit="1" customWidth="1"/>
    <col min="14607" max="14607" width="9.85546875" style="1" bestFit="1" customWidth="1"/>
    <col min="14608" max="14848" width="9.140625" style="1"/>
    <col min="14849" max="14849" width="14.42578125" style="1" customWidth="1"/>
    <col min="14850" max="14850" width="27.42578125" style="1" customWidth="1"/>
    <col min="14851" max="14851" width="9.140625" style="1"/>
    <col min="14852" max="14852" width="12.7109375" style="1" customWidth="1"/>
    <col min="14853" max="14853" width="32.42578125" style="1" customWidth="1"/>
    <col min="14854" max="14854" width="19.140625" style="1" customWidth="1"/>
    <col min="14855" max="14855" width="21.85546875" style="1" customWidth="1"/>
    <col min="14856" max="14857" width="9.140625" style="1"/>
    <col min="14858" max="14858" width="10.85546875" style="1" bestFit="1" customWidth="1"/>
    <col min="14859" max="14861" width="9.140625" style="1"/>
    <col min="14862" max="14862" width="9.42578125" style="1" bestFit="1" customWidth="1"/>
    <col min="14863" max="14863" width="9.85546875" style="1" bestFit="1" customWidth="1"/>
    <col min="14864" max="15104" width="9.140625" style="1"/>
    <col min="15105" max="15105" width="14.42578125" style="1" customWidth="1"/>
    <col min="15106" max="15106" width="27.42578125" style="1" customWidth="1"/>
    <col min="15107" max="15107" width="9.140625" style="1"/>
    <col min="15108" max="15108" width="12.7109375" style="1" customWidth="1"/>
    <col min="15109" max="15109" width="32.42578125" style="1" customWidth="1"/>
    <col min="15110" max="15110" width="19.140625" style="1" customWidth="1"/>
    <col min="15111" max="15111" width="21.85546875" style="1" customWidth="1"/>
    <col min="15112" max="15113" width="9.140625" style="1"/>
    <col min="15114" max="15114" width="10.85546875" style="1" bestFit="1" customWidth="1"/>
    <col min="15115" max="15117" width="9.140625" style="1"/>
    <col min="15118" max="15118" width="9.42578125" style="1" bestFit="1" customWidth="1"/>
    <col min="15119" max="15119" width="9.85546875" style="1" bestFit="1" customWidth="1"/>
    <col min="15120" max="15360" width="9.140625" style="1"/>
    <col min="15361" max="15361" width="14.42578125" style="1" customWidth="1"/>
    <col min="15362" max="15362" width="27.42578125" style="1" customWidth="1"/>
    <col min="15363" max="15363" width="9.140625" style="1"/>
    <col min="15364" max="15364" width="12.7109375" style="1" customWidth="1"/>
    <col min="15365" max="15365" width="32.42578125" style="1" customWidth="1"/>
    <col min="15366" max="15366" width="19.140625" style="1" customWidth="1"/>
    <col min="15367" max="15367" width="21.85546875" style="1" customWidth="1"/>
    <col min="15368" max="15369" width="9.140625" style="1"/>
    <col min="15370" max="15370" width="10.85546875" style="1" bestFit="1" customWidth="1"/>
    <col min="15371" max="15373" width="9.140625" style="1"/>
    <col min="15374" max="15374" width="9.42578125" style="1" bestFit="1" customWidth="1"/>
    <col min="15375" max="15375" width="9.85546875" style="1" bestFit="1" customWidth="1"/>
    <col min="15376" max="15616" width="9.140625" style="1"/>
    <col min="15617" max="15617" width="14.42578125" style="1" customWidth="1"/>
    <col min="15618" max="15618" width="27.42578125" style="1" customWidth="1"/>
    <col min="15619" max="15619" width="9.140625" style="1"/>
    <col min="15620" max="15620" width="12.7109375" style="1" customWidth="1"/>
    <col min="15621" max="15621" width="32.42578125" style="1" customWidth="1"/>
    <col min="15622" max="15622" width="19.140625" style="1" customWidth="1"/>
    <col min="15623" max="15623" width="21.85546875" style="1" customWidth="1"/>
    <col min="15624" max="15625" width="9.140625" style="1"/>
    <col min="15626" max="15626" width="10.85546875" style="1" bestFit="1" customWidth="1"/>
    <col min="15627" max="15629" width="9.140625" style="1"/>
    <col min="15630" max="15630" width="9.42578125" style="1" bestFit="1" customWidth="1"/>
    <col min="15631" max="15631" width="9.85546875" style="1" bestFit="1" customWidth="1"/>
    <col min="15632" max="15872" width="9.140625" style="1"/>
    <col min="15873" max="15873" width="14.42578125" style="1" customWidth="1"/>
    <col min="15874" max="15874" width="27.42578125" style="1" customWidth="1"/>
    <col min="15875" max="15875" width="9.140625" style="1"/>
    <col min="15876" max="15876" width="12.7109375" style="1" customWidth="1"/>
    <col min="15877" max="15877" width="32.42578125" style="1" customWidth="1"/>
    <col min="15878" max="15878" width="19.140625" style="1" customWidth="1"/>
    <col min="15879" max="15879" width="21.85546875" style="1" customWidth="1"/>
    <col min="15880" max="15881" width="9.140625" style="1"/>
    <col min="15882" max="15882" width="10.85546875" style="1" bestFit="1" customWidth="1"/>
    <col min="15883" max="15885" width="9.140625" style="1"/>
    <col min="15886" max="15886" width="9.42578125" style="1" bestFit="1" customWidth="1"/>
    <col min="15887" max="15887" width="9.85546875" style="1" bestFit="1" customWidth="1"/>
    <col min="15888" max="16128" width="9.140625" style="1"/>
    <col min="16129" max="16129" width="14.42578125" style="1" customWidth="1"/>
    <col min="16130" max="16130" width="27.42578125" style="1" customWidth="1"/>
    <col min="16131" max="16131" width="9.140625" style="1"/>
    <col min="16132" max="16132" width="12.7109375" style="1" customWidth="1"/>
    <col min="16133" max="16133" width="32.42578125" style="1" customWidth="1"/>
    <col min="16134" max="16134" width="19.140625" style="1" customWidth="1"/>
    <col min="16135" max="16135" width="21.85546875" style="1" customWidth="1"/>
    <col min="16136" max="16137" width="9.140625" style="1"/>
    <col min="16138" max="16138" width="10.85546875" style="1" bestFit="1" customWidth="1"/>
    <col min="16139" max="16141" width="9.140625" style="1"/>
    <col min="16142" max="16142" width="9.42578125" style="1" bestFit="1" customWidth="1"/>
    <col min="16143" max="16143" width="9.85546875" style="1" bestFit="1" customWidth="1"/>
    <col min="16144" max="16384" width="9.140625" style="1"/>
  </cols>
  <sheetData>
    <row r="1" spans="1:16" ht="15.75" x14ac:dyDescent="0.25">
      <c r="A1" s="596" t="str">
        <f>"OVERPAYMENT  REDUCTION CALCULATION SHEET - "&amp;B5*100&amp;"% MAXIMUM DISTRIBUTION REDUCTION"</f>
        <v>OVERPAYMENT  REDUCTION CALCULATION SHEET - 10% MAXIMUM DISTRIBUTION REDUCTION</v>
      </c>
      <c r="B1" s="596"/>
      <c r="C1" s="596"/>
      <c r="D1" s="596"/>
      <c r="E1" s="596"/>
      <c r="F1" s="596"/>
      <c r="G1" s="596"/>
      <c r="I1" s="590" t="s">
        <v>398</v>
      </c>
      <c r="J1" s="590"/>
      <c r="K1" s="590"/>
      <c r="L1" s="590"/>
      <c r="M1" s="590"/>
      <c r="N1" s="590"/>
      <c r="O1" s="590"/>
    </row>
    <row r="2" spans="1:16" ht="15.75" customHeight="1" thickBot="1" x14ac:dyDescent="0.3">
      <c r="A2" s="10"/>
      <c r="B2" s="10"/>
      <c r="C2" s="10"/>
      <c r="D2" s="10"/>
      <c r="E2" s="10"/>
      <c r="F2" s="10"/>
      <c r="G2" s="400"/>
      <c r="J2" s="592" t="s">
        <v>403</v>
      </c>
      <c r="K2" s="591" t="s">
        <v>400</v>
      </c>
      <c r="L2" s="593" t="str">
        <f>IF(G4="","","13th Check Reduction")</f>
        <v>13th Check Reduction</v>
      </c>
      <c r="M2" s="592" t="s">
        <v>401</v>
      </c>
      <c r="N2" s="592" t="s">
        <v>402</v>
      </c>
      <c r="O2" s="591" t="s">
        <v>404</v>
      </c>
    </row>
    <row r="3" spans="1:16" ht="14.25" thickBot="1" x14ac:dyDescent="0.3">
      <c r="A3" s="401" t="s">
        <v>323</v>
      </c>
      <c r="B3" s="402" t="s">
        <v>429</v>
      </c>
      <c r="C3" s="101"/>
      <c r="D3" s="101" t="s">
        <v>0</v>
      </c>
      <c r="E3" s="402" t="s">
        <v>430</v>
      </c>
      <c r="F3" s="401" t="s">
        <v>324</v>
      </c>
      <c r="G3" s="403">
        <v>3108.91</v>
      </c>
      <c r="I3" s="12" t="s">
        <v>399</v>
      </c>
      <c r="J3" s="592"/>
      <c r="K3" s="591"/>
      <c r="L3" s="593"/>
      <c r="M3" s="592"/>
      <c r="N3" s="592"/>
      <c r="O3" s="591"/>
      <c r="P3" s="3"/>
    </row>
    <row r="4" spans="1:16" ht="14.25" thickBot="1" x14ac:dyDescent="0.3">
      <c r="A4" s="401" t="s">
        <v>325</v>
      </c>
      <c r="B4" s="404">
        <v>45931</v>
      </c>
      <c r="C4" s="597" t="s">
        <v>326</v>
      </c>
      <c r="D4" s="597"/>
      <c r="E4" s="404">
        <v>46174</v>
      </c>
      <c r="F4" s="401" t="s">
        <v>327</v>
      </c>
      <c r="G4" s="403">
        <v>3108.91</v>
      </c>
      <c r="H4" s="3"/>
      <c r="I4" s="193" t="str">
        <f>""&amp;YEAR(E4)</f>
        <v>2026</v>
      </c>
      <c r="J4" s="31">
        <f>G22</f>
        <v>53.74</v>
      </c>
      <c r="K4" s="193" t="str">
        <f>""&amp;13-MONTH(E4)</f>
        <v>7</v>
      </c>
      <c r="L4" s="31">
        <f>IF(G4="","",G23)</f>
        <v>53.74</v>
      </c>
      <c r="M4" s="31">
        <f>IF(G4="",J4*K4,(J4*K4)+G23)</f>
        <v>429.92</v>
      </c>
      <c r="N4" s="31">
        <f>M4</f>
        <v>429.92</v>
      </c>
      <c r="O4" s="12">
        <f>IF(G4="",G26-K4,IF(K4&gt;4,G28-K4-1))</f>
        <v>111</v>
      </c>
      <c r="P4" s="3"/>
    </row>
    <row r="5" spans="1:16" ht="14.25" thickBot="1" x14ac:dyDescent="0.3">
      <c r="A5" s="401" t="s">
        <v>328</v>
      </c>
      <c r="B5" s="405">
        <v>0.1</v>
      </c>
      <c r="D5" s="101"/>
      <c r="H5" s="3"/>
      <c r="I5" s="193" t="str">
        <f>IF(O4&gt;0,""&amp;YEAR(E4)+1,"")</f>
        <v>2027</v>
      </c>
      <c r="J5" s="31">
        <f>G22</f>
        <v>53.74</v>
      </c>
      <c r="K5" s="12">
        <f t="shared" ref="K5:K12" si="0">IF(O4&gt;11,12,O4)</f>
        <v>12</v>
      </c>
      <c r="L5" s="31">
        <f>IF(G4="","",G23)</f>
        <v>53.74</v>
      </c>
      <c r="M5" s="31">
        <f>IF(M4+(J5*K5)&gt;G6,(J5*K5)-((M4+(J5*K5))-G6),IF(G4="",J5*K5,(J5*K5)+G23))</f>
        <v>698.62</v>
      </c>
      <c r="N5" s="31">
        <f>SUM(M4:M5)</f>
        <v>1128.54</v>
      </c>
      <c r="O5" s="12">
        <f>IF(G4="",G26-K4-K5,IF(K5&gt;11,G28-K4-K5-1))</f>
        <v>99</v>
      </c>
      <c r="P5" s="3"/>
    </row>
    <row r="6" spans="1:16" ht="14.25" thickBot="1" x14ac:dyDescent="0.3">
      <c r="A6" s="401" t="s">
        <v>329</v>
      </c>
      <c r="B6" s="1" t="s">
        <v>330</v>
      </c>
      <c r="D6" s="101"/>
      <c r="E6" s="401" t="s">
        <v>331</v>
      </c>
      <c r="G6" s="403">
        <v>6986.5</v>
      </c>
      <c r="H6" s="3"/>
      <c r="I6" s="193" t="str">
        <f>IF(O5&gt;0,""&amp;YEAR(E4)+2,"")</f>
        <v>2028</v>
      </c>
      <c r="J6" s="31">
        <f>G22</f>
        <v>53.74</v>
      </c>
      <c r="K6" s="12">
        <f t="shared" si="0"/>
        <v>12</v>
      </c>
      <c r="L6" s="31">
        <f>IF(G4="","",G23)</f>
        <v>53.74</v>
      </c>
      <c r="M6" s="31">
        <f>IF(SUM(M4:M5)+(J6*K6)&gt;G6,(J6*K6)-((SUM(M4:M5)+(J6*K6))-G6),IF(G4="",J6*K6,(J6*K6)+G23))</f>
        <v>698.62</v>
      </c>
      <c r="N6" s="31">
        <f>SUM(M4:M6)</f>
        <v>1827.1599999999999</v>
      </c>
      <c r="O6" s="12">
        <f>G28-K4-K5-K6-1</f>
        <v>87</v>
      </c>
      <c r="P6" s="3"/>
    </row>
    <row r="7" spans="1:16" x14ac:dyDescent="0.25">
      <c r="D7" s="101"/>
      <c r="H7" s="3"/>
      <c r="I7" s="193" t="str">
        <f>IF(O6&gt;0,""&amp;YEAR(E4)+3,"")</f>
        <v>2029</v>
      </c>
      <c r="J7" s="31">
        <f>G22</f>
        <v>53.74</v>
      </c>
      <c r="K7" s="12">
        <f t="shared" si="0"/>
        <v>12</v>
      </c>
      <c r="L7" s="31">
        <f>IF(G4="","",G23)</f>
        <v>53.74</v>
      </c>
      <c r="M7" s="31">
        <f>IF(SUM(M4:M6)+(J7*K7)&gt;G6,(J7*K7)-((SUM(M4:M6)+(J7*K7))-G6),IF(G4="",J7*K7,(J7*K7)+G23))</f>
        <v>698.62</v>
      </c>
      <c r="N7" s="31">
        <f>SUM(M4:M7)</f>
        <v>2525.7799999999997</v>
      </c>
      <c r="O7" s="12">
        <f>G28-K4-K5-K6-K7-1</f>
        <v>75</v>
      </c>
      <c r="P7" s="3"/>
    </row>
    <row r="8" spans="1:16" ht="15" customHeight="1" x14ac:dyDescent="0.25">
      <c r="A8" s="401" t="s">
        <v>332</v>
      </c>
      <c r="B8" s="1" t="str">
        <f>"The amount recouped each year cannot exceed "&amp;B5*100&amp;"% of the total overpayment amount."</f>
        <v>The amount recouped each year cannot exceed 10% of the total overpayment amount.</v>
      </c>
      <c r="D8" s="101"/>
      <c r="F8" s="598"/>
      <c r="G8" s="598"/>
      <c r="H8" s="3"/>
      <c r="I8" s="193" t="str">
        <f>IF(O7&gt;0,""&amp;YEAR(E4)+4,"")</f>
        <v>2030</v>
      </c>
      <c r="J8" s="31">
        <f>G22</f>
        <v>53.74</v>
      </c>
      <c r="K8" s="12">
        <f t="shared" si="0"/>
        <v>12</v>
      </c>
      <c r="L8" s="31">
        <f>IF(G4="","",G23)</f>
        <v>53.74</v>
      </c>
      <c r="M8" s="31">
        <f>IF(SUM(M4:M7)+(J8*K8)&gt;G6,(J8*K8)-((SUM(M4:M7)+(J8*K8))-G6),IF(G4="",J8*K8,(J8*K8)+G23))</f>
        <v>698.62</v>
      </c>
      <c r="N8" s="31">
        <f>SUM(M4:M8)</f>
        <v>3224.3999999999996</v>
      </c>
      <c r="O8" s="12">
        <f>G26-K4-K5-K6-K7-K8-1</f>
        <v>64</v>
      </c>
      <c r="P8" s="3"/>
    </row>
    <row r="9" spans="1:16" ht="15" customHeight="1" x14ac:dyDescent="0.25">
      <c r="B9" s="1" t="str">
        <f>"Multiply the total overpayment by "&amp;B5*100&amp;"%, then divide that amount  by the number of"</f>
        <v>Multiply the total overpayment by 10%, then divide that amount  by the number of</v>
      </c>
      <c r="D9" s="101"/>
      <c r="F9" s="599"/>
      <c r="G9" s="599"/>
      <c r="H9" s="3"/>
      <c r="I9" s="193" t="str">
        <f>IF(O8&gt;0,""&amp;YEAR(E4)+5,"")</f>
        <v>2031</v>
      </c>
      <c r="J9" s="31">
        <f>G22</f>
        <v>53.74</v>
      </c>
      <c r="K9" s="12">
        <f t="shared" si="0"/>
        <v>12</v>
      </c>
      <c r="L9" s="31">
        <f>IF(G4="","",G23)</f>
        <v>53.74</v>
      </c>
      <c r="M9" s="31">
        <f>IF(SUM(M4:M8)+(J9*K9)&gt;G6,(J9*K9)-((SUM(M4:M8)+(J9*K9))-G6),IF(G4="",J9*K9,(J9*K9)+G23))</f>
        <v>698.62</v>
      </c>
      <c r="N9" s="31">
        <f>SUM(M4:M9)</f>
        <v>3923.0199999999995</v>
      </c>
      <c r="O9" s="12">
        <f>G26-K4-K5-K6-K7-K8-K9</f>
        <v>53</v>
      </c>
      <c r="P9" s="3"/>
    </row>
    <row r="10" spans="1:16" x14ac:dyDescent="0.25">
      <c r="B10" s="1" t="s">
        <v>333</v>
      </c>
      <c r="D10" s="101"/>
      <c r="I10" s="193" t="str">
        <f>IF(O9&gt;0,""&amp;YEAR(E4)+6,"")</f>
        <v>2032</v>
      </c>
      <c r="J10" s="31">
        <f>G22</f>
        <v>53.74</v>
      </c>
      <c r="K10" s="12">
        <f t="shared" si="0"/>
        <v>12</v>
      </c>
      <c r="L10" s="31">
        <f>IF(G4="","",G23)</f>
        <v>53.74</v>
      </c>
      <c r="M10" s="31">
        <f>IF(SUM(M4:M9)+(J10*K10)&gt;G6,(J10*K10)-((SUM(M4:M9)+(J10*K10))-G6),IF(G4="",J10*K10,(J10*K10)+G23))</f>
        <v>698.62</v>
      </c>
      <c r="N10" s="31">
        <f>SUM(M4:M10)</f>
        <v>4621.6399999999994</v>
      </c>
      <c r="O10" s="12">
        <f>G26-K4-K5-K6-K7-K8-K9-K10</f>
        <v>41</v>
      </c>
      <c r="P10" s="3"/>
    </row>
    <row r="11" spans="1:16" x14ac:dyDescent="0.25">
      <c r="D11" s="101"/>
      <c r="E11" s="401" t="str">
        <f>IF(G4="","TOA x "&amp;B5*100&amp;"% / 12 =","TOA x "&amp;B5*100&amp;"% / 13 =")</f>
        <v>TOA x 10% / 13 =</v>
      </c>
      <c r="F11" s="401" t="s">
        <v>334</v>
      </c>
      <c r="G11" s="406">
        <f>IF(G4="",ROUND((G6*B5)/12,2),ROUND((G6*B5)/13,2))</f>
        <v>53.74</v>
      </c>
      <c r="I11" s="193" t="str">
        <f>IF(O10&gt;0,""&amp;YEAR(E4)+7,"")</f>
        <v>2033</v>
      </c>
      <c r="J11" s="31">
        <f>G22</f>
        <v>53.74</v>
      </c>
      <c r="K11" s="12">
        <f t="shared" si="0"/>
        <v>12</v>
      </c>
      <c r="L11" s="31">
        <f>IF(G4="","",G23)</f>
        <v>53.74</v>
      </c>
      <c r="M11" s="31">
        <f>IF(SUM(M4:M10)+(J11*K11)&gt;G6,(J11*K11)-((SUM(M4:M10)+(J11*K11))-G6),IF(G4="",J11*K11,(J11*K11)+G23))</f>
        <v>698.62</v>
      </c>
      <c r="N11" s="31">
        <f>SUM(M4:M11)</f>
        <v>5320.2599999999993</v>
      </c>
      <c r="O11" s="12">
        <f>G26-K4-K5-K6-K7-K8-K9-K10-K11</f>
        <v>29</v>
      </c>
      <c r="P11" s="3"/>
    </row>
    <row r="12" spans="1:16" x14ac:dyDescent="0.25">
      <c r="A12" s="401" t="s">
        <v>335</v>
      </c>
      <c r="B12" s="1" t="str">
        <f>"Future benefit payments cannot be reduced to below "&amp;100-B5*100&amp;"% of the correct monthly benefit"</f>
        <v>Future benefit payments cannot be reduced to below 90% of the correct monthly benefit</v>
      </c>
      <c r="D12" s="101"/>
      <c r="F12" s="401" t="str">
        <f>IF(G4="","","13th Check Reduction:")</f>
        <v>13th Check Reduction:</v>
      </c>
      <c r="G12" s="406">
        <f>IF(G4="","",ROUND((G6*B5)/13,2))</f>
        <v>53.74</v>
      </c>
      <c r="I12" s="193" t="str">
        <f>IF(O11&gt;0,""&amp;YEAR(E4)+8,"")</f>
        <v>2034</v>
      </c>
      <c r="J12" s="31">
        <f>G22</f>
        <v>53.74</v>
      </c>
      <c r="K12" s="12">
        <f t="shared" si="0"/>
        <v>12</v>
      </c>
      <c r="L12" s="31">
        <f>IF(G4="","",G23)</f>
        <v>53.74</v>
      </c>
      <c r="M12" s="31">
        <f>IF(SUM(M4:M11)+(J12*K12)&gt;G6,(J12*K12)-((SUM(M4:M11)+(J12*K12))-G6),IF(G4="",J12*K12,(J12*K12)+G23))</f>
        <v>698.62</v>
      </c>
      <c r="N12" s="31">
        <f>SUM(M4:M12)</f>
        <v>6018.8799999999992</v>
      </c>
      <c r="O12" s="12">
        <f>G26-K4-K5-K6-K7-K8-K9-K10-K11-K12</f>
        <v>17</v>
      </c>
      <c r="P12" s="3"/>
    </row>
    <row r="13" spans="1:16" x14ac:dyDescent="0.25">
      <c r="B13" s="1" t="s">
        <v>336</v>
      </c>
      <c r="D13" s="101"/>
      <c r="I13" s="193" t="str">
        <f>IF(O12&gt;0,""&amp;YEAR(E4)+9,"")</f>
        <v>2035</v>
      </c>
      <c r="J13" s="31">
        <f>G22</f>
        <v>53.74</v>
      </c>
      <c r="K13" s="12">
        <f t="shared" ref="K13:K17" si="1">IF(O12&gt;11,12,O12)</f>
        <v>12</v>
      </c>
      <c r="L13" s="31">
        <f>IF(G4="","",G23)</f>
        <v>53.74</v>
      </c>
      <c r="M13" s="31">
        <f>IF(SUM(M4:M12)+(J13*K13)&gt;G6,(J13*K13)-((SUM(M4:M12)+(J13*K13))-G6),IF(G4="",J13*K13,(J13*K13)+G23))</f>
        <v>698.62</v>
      </c>
      <c r="N13" s="31">
        <f>SUM(M4:M13)</f>
        <v>6717.4999999999991</v>
      </c>
      <c r="O13" s="12">
        <f>G26-K4-K5-K6-K7-K8-K9-K10-K11-K12-K13</f>
        <v>5</v>
      </c>
      <c r="P13" s="3"/>
    </row>
    <row r="14" spans="1:16" x14ac:dyDescent="0.25">
      <c r="B14" s="1" t="str">
        <f>B5*100&amp;"%;"</f>
        <v>10%;</v>
      </c>
      <c r="D14" s="597" t="str">
        <f>"Correct Monthly Benefit Amount x "&amp;B5*100&amp;"% ="</f>
        <v>Correct Monthly Benefit Amount x 10% =</v>
      </c>
      <c r="E14" s="597"/>
      <c r="F14" s="401" t="s">
        <v>334</v>
      </c>
      <c r="G14" s="406">
        <f>ROUND(G3*B5,2)</f>
        <v>310.89</v>
      </c>
      <c r="I14" s="193" t="str">
        <f>IF(O13&gt;0,""&amp;YEAR(E4)+10,"")</f>
        <v>2036</v>
      </c>
      <c r="J14" s="31">
        <f>G22</f>
        <v>53.74</v>
      </c>
      <c r="K14" s="12">
        <f t="shared" si="1"/>
        <v>5</v>
      </c>
      <c r="L14" s="31">
        <f>IF(G4="","",G23)</f>
        <v>53.74</v>
      </c>
      <c r="M14" s="31">
        <f>IF(SUM(M4:M13)+(J14*K14)&gt;G6,(J14*K14)-((SUM(M4:M13)+(J14*K14))-G6),IF(G4="",J14*K14,(J14*K14)+G23))</f>
        <v>322.44</v>
      </c>
      <c r="N14" s="31">
        <f>SUM(M4:M14)</f>
        <v>7039.9399999999987</v>
      </c>
      <c r="O14" s="12">
        <f>G26-K4-K5-K6-K7-K8-K9-K10-K11-K12-K13-K14</f>
        <v>0</v>
      </c>
      <c r="P14" s="3"/>
    </row>
    <row r="15" spans="1:16" x14ac:dyDescent="0.25">
      <c r="A15" s="401" t="s">
        <v>337</v>
      </c>
      <c r="B15" s="1" t="s">
        <v>338</v>
      </c>
      <c r="F15" s="401" t="str">
        <f>IF(G4="","","13th Check Reduction:")</f>
        <v>13th Check Reduction:</v>
      </c>
      <c r="G15" s="406">
        <f>IF(G4="","",ROUND(G4*B5,2))</f>
        <v>310.89</v>
      </c>
      <c r="I15" s="193" t="str">
        <f>IF(O14&gt;0,""&amp;YEAR(E4)+11,"")</f>
        <v/>
      </c>
      <c r="J15" s="31">
        <f>G22</f>
        <v>53.74</v>
      </c>
      <c r="K15" s="12">
        <f t="shared" si="1"/>
        <v>0</v>
      </c>
      <c r="L15" s="31">
        <f>IF(G4="","",G23)</f>
        <v>53.74</v>
      </c>
      <c r="M15" s="31">
        <f>IF(SUM(M4:M14)+(J15*K15)&gt;G6,(J15*K15)-((SUM(M4:M14)+(J15*K15))-G6),IF(G4="",J15*K15,(J15*K15)+G23))</f>
        <v>-53.43999999999869</v>
      </c>
      <c r="N15" s="31">
        <f>SUM(M4:M15)</f>
        <v>6986.5</v>
      </c>
      <c r="O15" s="12">
        <f>G26-K4-K5-K6-K7-K8-K9-K10-K11-K12-K13-K14-K15</f>
        <v>0</v>
      </c>
      <c r="P15" s="3"/>
    </row>
    <row r="16" spans="1:16" x14ac:dyDescent="0.25">
      <c r="B16" s="1" t="s">
        <v>339</v>
      </c>
      <c r="E16" s="407">
        <f>G11</f>
        <v>53.74</v>
      </c>
      <c r="F16" s="401" t="s">
        <v>324</v>
      </c>
      <c r="G16" s="406">
        <f>IF(G11&lt;G14,G3-G11,"-")</f>
        <v>3055.17</v>
      </c>
      <c r="I16" s="193" t="str">
        <f>IF(O15&gt;0,""&amp;YEAR(E4)+12,"")</f>
        <v/>
      </c>
      <c r="J16" s="31">
        <f>G22</f>
        <v>53.74</v>
      </c>
      <c r="K16" s="12">
        <f t="shared" si="1"/>
        <v>0</v>
      </c>
      <c r="L16" s="31">
        <f>IF(G4="","",G23)</f>
        <v>53.74</v>
      </c>
      <c r="M16" s="31">
        <f>IF(SUM(M4:M15)+(J16*K16)&gt;G6,(J16*K16)-((SUM(M4:M15)+(J16*K16))-G6),IF(G4="",J16*K16,(J16*K16)+G23))</f>
        <v>53.74</v>
      </c>
      <c r="N16" s="31">
        <f>SUM(M4:M16)</f>
        <v>7040.24</v>
      </c>
      <c r="O16" s="12">
        <f>G26-K4-K5-K6-K7-K8-K9-K10-K11-K12-K13-K14-K15-K16</f>
        <v>0</v>
      </c>
      <c r="P16" s="3"/>
    </row>
    <row r="17" spans="1:16" x14ac:dyDescent="0.25">
      <c r="E17" s="398" t="s">
        <v>340</v>
      </c>
      <c r="F17" s="401" t="str">
        <f>IF(G4="","","13th Check:")</f>
        <v>13th Check:</v>
      </c>
      <c r="G17" s="406">
        <f>IF(G4="","",IF(G11&lt;G14,G4-G11,"-"))</f>
        <v>3055.17</v>
      </c>
      <c r="I17" s="193" t="str">
        <f>IF(O16&gt;0,""&amp;YEAR(E4)+13,"")</f>
        <v/>
      </c>
      <c r="J17" s="31">
        <f>G22</f>
        <v>53.74</v>
      </c>
      <c r="K17" s="12">
        <f t="shared" si="1"/>
        <v>0</v>
      </c>
      <c r="L17" s="31">
        <f>IF(G4="","",G23)</f>
        <v>53.74</v>
      </c>
      <c r="M17" s="31">
        <f>IF(SUM(M4:M16)+(J17*K17)&gt;G6,(J17*K17)-((SUM(M4:M16)+(J17*K17))-G6),IF(G4="",J17*K17,(J17*K17)+G23))</f>
        <v>-53.739999999999782</v>
      </c>
      <c r="N17" s="31">
        <f>SUM(M4:M17)</f>
        <v>6986.5</v>
      </c>
      <c r="O17" s="12">
        <f>G26-K4-K5-K6-K7-K8-K9-K10-K11-K12-K13-K14-K15-K16-K17</f>
        <v>0</v>
      </c>
      <c r="P17" s="3"/>
    </row>
    <row r="18" spans="1:16" x14ac:dyDescent="0.25">
      <c r="A18" s="401" t="s">
        <v>341</v>
      </c>
      <c r="B18" s="1" t="s">
        <v>342</v>
      </c>
      <c r="I18" s="193" t="str">
        <f>IF(O17&gt;0,""&amp;YEAR(E4)+14,"")</f>
        <v/>
      </c>
      <c r="J18" s="31">
        <f>G22</f>
        <v>53.74</v>
      </c>
      <c r="K18" s="12">
        <f>IF(O17&gt;11,12,O17-1)</f>
        <v>-1</v>
      </c>
      <c r="L18" s="31"/>
      <c r="M18" s="31">
        <f>IF(SUM(M4:M17)+(J18*K18)&gt;G6,(J18*K18)-((SUM(M4:M17)+(J18*K18))-G6),IF(G4="",J18*K18,(J18*K18)+L18))</f>
        <v>-53.74</v>
      </c>
      <c r="N18" s="31">
        <f>SUM(M4:M18)</f>
        <v>6932.76</v>
      </c>
      <c r="O18" s="12">
        <f>G26-K4-K5-K6-K7-K8-K9-K10-K11-K12-K13-K14-K15-K16-K17-K18-1</f>
        <v>0</v>
      </c>
      <c r="P18" s="3"/>
    </row>
    <row r="19" spans="1:16" x14ac:dyDescent="0.25">
      <c r="B19" s="1" t="s">
        <v>343</v>
      </c>
      <c r="E19" s="407">
        <f>G14</f>
        <v>310.89</v>
      </c>
      <c r="F19" s="401" t="s">
        <v>324</v>
      </c>
      <c r="G19" s="406" t="str">
        <f>IF(G11&gt;G14,G3-G14,"-")</f>
        <v>-</v>
      </c>
      <c r="I19" s="193" t="str">
        <f>IF(O18&gt;0,""&amp;YEAR(E4)+15,"")</f>
        <v/>
      </c>
      <c r="J19" s="31">
        <f>G22</f>
        <v>53.74</v>
      </c>
      <c r="K19" s="12">
        <f t="shared" ref="K19:K24" si="2">IF(O18&gt;11,12,O18)</f>
        <v>0</v>
      </c>
      <c r="L19" s="31"/>
      <c r="M19" s="31">
        <f>IF(SUM(M4:M18)+(J19*K19)&gt;G6,(J19*K19)-((SUM(M4:M18)+(J19*K19))-G6),J19*K19)</f>
        <v>0</v>
      </c>
      <c r="N19" s="31">
        <f>SUM(M4:M19)</f>
        <v>6932.76</v>
      </c>
      <c r="O19" s="12">
        <f>G26-K4-K5-K6-K7-K8-K9-K10-K11-K12-K13-K14-K15-K16-K17-K18-K19-2</f>
        <v>-1</v>
      </c>
      <c r="P19" s="3"/>
    </row>
    <row r="20" spans="1:16" x14ac:dyDescent="0.25">
      <c r="E20" s="407">
        <f>G15</f>
        <v>310.89</v>
      </c>
      <c r="F20" s="401" t="str">
        <f>IF(G4="","","13th Check:")</f>
        <v>13th Check:</v>
      </c>
      <c r="G20" s="406" t="str">
        <f>IF(G4="","",IF(G12&gt;G15,G4-G15,"-"))</f>
        <v>-</v>
      </c>
      <c r="I20" s="12" t="str">
        <f>IF(O19&gt;0,""&amp;YEAR(E4)+16,"")</f>
        <v/>
      </c>
      <c r="J20" s="31">
        <f>G22</f>
        <v>53.74</v>
      </c>
      <c r="K20" s="12">
        <f t="shared" si="2"/>
        <v>-1</v>
      </c>
      <c r="L20" s="31"/>
      <c r="M20" s="31">
        <f>IF(SUM(M4:M19)+(J20*K20)&gt;G6,(J20*K20)-((SUM(M4:M19)+(J20*K20))-G6),J20*K20)</f>
        <v>-53.74</v>
      </c>
      <c r="N20" s="31">
        <f>SUM(M4:M20)</f>
        <v>6879.02</v>
      </c>
      <c r="O20" s="12">
        <f>G26-K4-K5-K6-K7-K8-K9-K10-K11-K12-K13-K14-K15-K16-K17-K18-K19-K20-3</f>
        <v>-1</v>
      </c>
      <c r="P20" s="3"/>
    </row>
    <row r="21" spans="1:16" ht="14.25" thickBot="1" x14ac:dyDescent="0.3">
      <c r="A21" s="401" t="s">
        <v>344</v>
      </c>
      <c r="B21" s="1" t="s">
        <v>345</v>
      </c>
      <c r="E21" s="398" t="s">
        <v>346</v>
      </c>
      <c r="I21" s="12" t="str">
        <f>IF(O20&gt;0,""&amp;YEAR(E4)+17,"")</f>
        <v/>
      </c>
      <c r="J21" s="31">
        <f>G22</f>
        <v>53.74</v>
      </c>
      <c r="K21" s="12">
        <f t="shared" si="2"/>
        <v>-1</v>
      </c>
      <c r="L21" s="31"/>
      <c r="M21" s="31">
        <f>IF(SUM(M4:M20)+(J21*K21)&gt;G6,(J21*K21)-((SUM(M4:M20)+(J21*K21))-G6),J21*K21)</f>
        <v>-53.74</v>
      </c>
      <c r="N21" s="31">
        <f>SUM(M4:M21)</f>
        <v>6825.2800000000007</v>
      </c>
      <c r="O21" s="12">
        <f>G26-K4-K5-K6-K7-K8-K9-K10-K11-K12-K13-K14-K15-K16-K17-K18-K19-K20-K21-4</f>
        <v>-1</v>
      </c>
      <c r="P21" s="3"/>
    </row>
    <row r="22" spans="1:16" ht="14.25" thickBot="1" x14ac:dyDescent="0.3">
      <c r="D22" s="600" t="s">
        <v>347</v>
      </c>
      <c r="E22" s="601"/>
      <c r="F22" s="408" t="str">
        <f>IF(E16&gt;E19,"E19","E16")</f>
        <v>E16</v>
      </c>
      <c r="G22" s="409">
        <f>IF(E16&gt;E19,E19,E16)</f>
        <v>53.74</v>
      </c>
      <c r="I22" s="12" t="str">
        <f>IF(O21&gt;0,""&amp;YEAR(E4)+18,"")</f>
        <v/>
      </c>
      <c r="J22" s="31">
        <f>G22</f>
        <v>53.74</v>
      </c>
      <c r="K22" s="12">
        <f t="shared" si="2"/>
        <v>-1</v>
      </c>
      <c r="L22" s="31"/>
      <c r="M22" s="31">
        <f>IF(SUM(M4:M21)+(J22*K22)&gt;G6,(J22*K22)-((SUM(M4:M21)+(J22*K22))-G6),J22*K22)</f>
        <v>-53.74</v>
      </c>
      <c r="N22" s="31">
        <f>SUM(M4:M22)</f>
        <v>6771.5400000000009</v>
      </c>
      <c r="O22" s="12">
        <f>G26-K4-K5-K6-K7-K8-K9-K10-K11-K12-K13-K14-K15-K16-K17-K18-K19-K20-K21-K22-5</f>
        <v>-1</v>
      </c>
      <c r="P22" s="3"/>
    </row>
    <row r="23" spans="1:16" ht="14.25" customHeight="1" thickBot="1" x14ac:dyDescent="0.3">
      <c r="D23" s="600" t="str">
        <f>IF(G4="","","13th Check Benefit Reduction (E16 or E19):")</f>
        <v>13th Check Benefit Reduction (E16 or E19):</v>
      </c>
      <c r="E23" s="601"/>
      <c r="F23" s="408" t="str">
        <f>IF(G4="","",IF(E16&gt;E19,"E19","E16"))</f>
        <v>E16</v>
      </c>
      <c r="G23" s="409">
        <f>IF(G4="","",IF(E16&gt;E20,E20,E16))</f>
        <v>53.74</v>
      </c>
      <c r="I23" s="12" t="str">
        <f>IF(O22&gt;0,""&amp;YEAR(E4)+19,"")</f>
        <v/>
      </c>
      <c r="J23" s="31">
        <f>IF(O22=0,"",G22)</f>
        <v>53.74</v>
      </c>
      <c r="K23" s="12">
        <f t="shared" si="2"/>
        <v>-1</v>
      </c>
      <c r="L23" s="31"/>
      <c r="M23" s="31"/>
      <c r="N23" s="31">
        <f>SUM(M4:M23)</f>
        <v>6771.5400000000009</v>
      </c>
      <c r="O23" s="12">
        <f>G26-K4-K5-K6-K7-K8-K9-K10-K11-K12-K13-K14-K15-K16-K17-K18-K19-K20-K21-K22-K23-6</f>
        <v>-1</v>
      </c>
    </row>
    <row r="24" spans="1:16" ht="15" customHeight="1" x14ac:dyDescent="0.25">
      <c r="D24" s="602" t="s">
        <v>348</v>
      </c>
      <c r="E24" s="602"/>
      <c r="F24" s="410"/>
      <c r="G24" s="411">
        <f>IF(E16&lt;=E19,G16,G19)</f>
        <v>3055.17</v>
      </c>
      <c r="I24" s="12" t="str">
        <f>IF(O23&gt;0,""&amp;YEAR(E4)+20,"")</f>
        <v/>
      </c>
      <c r="J24" s="31">
        <f>IF(O23=0,"",G22)</f>
        <v>53.74</v>
      </c>
      <c r="K24" s="12">
        <f t="shared" si="2"/>
        <v>-1</v>
      </c>
      <c r="L24" s="31"/>
      <c r="M24" s="31"/>
      <c r="N24" s="31">
        <f>SUM(M4:M24)</f>
        <v>6771.5400000000009</v>
      </c>
      <c r="O24" s="12">
        <f>G26-K4-K5-K6-K7-K8-K9-K10-K11-K12-K13-K14-K15-K16-K17-K18-K19-K20-K21-K22-K23-K24-7</f>
        <v>-1</v>
      </c>
    </row>
    <row r="25" spans="1:16" x14ac:dyDescent="0.25">
      <c r="D25" s="602" t="str">
        <f>IF(G4="","","Reduced 13th Check:")</f>
        <v>Reduced 13th Check:</v>
      </c>
      <c r="E25" s="602"/>
      <c r="F25" s="410"/>
      <c r="G25" s="411">
        <f>IF(G4="","",IF(E16&lt;=E19,G17,G20))</f>
        <v>3055.17</v>
      </c>
      <c r="M25" s="3"/>
    </row>
    <row r="26" spans="1:16" ht="15.75" customHeight="1" x14ac:dyDescent="0.25">
      <c r="C26" s="603" t="s">
        <v>349</v>
      </c>
      <c r="D26" s="603"/>
      <c r="E26" s="603"/>
      <c r="F26" s="412"/>
      <c r="G26" s="413">
        <f>IF(G4="",ROUNDUP(G6/G22,0),IF(OR(MONTH(B4)&lt;9,YEAR(B4)&lt;YEAR(E4)),ROUNDUP((G6-(ROUNDDOWN((G6/G22)/13,0)*G23))/G22,0)-1,ROUNDUP((G6-((ROUNDDOWN((G6/G22)/13,0)-1)*G23))/G22,0)))</f>
        <v>120</v>
      </c>
      <c r="M26" s="3"/>
    </row>
    <row r="27" spans="1:16" ht="6" customHeight="1" thickBot="1" x14ac:dyDescent="0.3"/>
    <row r="28" spans="1:16" ht="13.5" customHeight="1" thickBot="1" x14ac:dyDescent="0.3">
      <c r="C28" s="604" t="s">
        <v>350</v>
      </c>
      <c r="D28" s="605"/>
      <c r="E28" s="605"/>
      <c r="F28" s="414"/>
      <c r="G28" s="415">
        <f>IF(G4="",ROUNDDOWN(G6/G22,0),IF(OR(MONTH(B4)&lt;9,YEAR(B4)&lt;YEAR(E4)),ROUNDDOWN(G6/G22,0)-ROUNDDOWN((ROUNDDOWN((G6/G22)/13,0)*G23)/G22,0)-1,ROUNDDOWN(G6/G22,0)-ROUNDDOWN(((ROUNDDOWN((G6/G22)/13,0)-1)*G23)/G22,0)))</f>
        <v>119</v>
      </c>
      <c r="M28" s="95">
        <f>IF(G4="",EDATE(E4,G28-1),IF(OR(MONTH(B4)&lt;9,YEAR(B4)&lt;YEAR(E4)),EDATE(E4,(G28-1)-(ROUNDDOWN((G6/G22)/13,0))),EDATE(E4,(G28-1)-(ROUNDDOWN((G6/G22)/13,0)-1))))</f>
        <v>49461</v>
      </c>
    </row>
    <row r="29" spans="1:16" ht="13.5" customHeight="1" thickBot="1" x14ac:dyDescent="0.3">
      <c r="C29" s="594" t="s">
        <v>351</v>
      </c>
      <c r="D29" s="595"/>
      <c r="E29" s="595"/>
      <c r="F29" s="416"/>
      <c r="G29" s="417">
        <f>IF(G4="",(G28*G22),IF(AND(MONTH(B4)&lt;9,YEAR(B4)&lt;=YEAR(E4)),(ROUNDDOWN((G6/G22)/13,0))*G23+(G28*G22)+G22,(((ROUNDDOWN((G6/G22)/13,0)))*G23)+(G28*G22)+G22))</f>
        <v>6986.2</v>
      </c>
    </row>
    <row r="30" spans="1:16" ht="6.75" customHeight="1" thickBot="1" x14ac:dyDescent="0.3"/>
    <row r="31" spans="1:16" ht="15.75" customHeight="1" x14ac:dyDescent="0.25">
      <c r="B31" s="418" t="s">
        <v>352</v>
      </c>
      <c r="C31" s="414"/>
      <c r="D31" s="419"/>
      <c r="E31" s="420" t="s">
        <v>353</v>
      </c>
      <c r="F31" s="421"/>
      <c r="G31" s="422">
        <f>IF(G28=G26,G22,G6-G29)</f>
        <v>0.3000000000001819</v>
      </c>
      <c r="I31" s="1" t="s">
        <v>419</v>
      </c>
      <c r="L31" s="3">
        <v>6076</v>
      </c>
    </row>
    <row r="32" spans="1:16" x14ac:dyDescent="0.25">
      <c r="B32" s="423" t="s">
        <v>354</v>
      </c>
      <c r="C32" s="410"/>
      <c r="D32" s="424"/>
      <c r="E32" s="606" t="s">
        <v>355</v>
      </c>
      <c r="F32" s="607"/>
      <c r="G32" s="608"/>
      <c r="I32" s="1" t="s">
        <v>420</v>
      </c>
      <c r="L32" s="3">
        <v>108.5</v>
      </c>
    </row>
    <row r="33" spans="2:12" ht="14.25" thickBot="1" x14ac:dyDescent="0.3">
      <c r="B33" s="423" t="s">
        <v>356</v>
      </c>
      <c r="C33" s="410"/>
      <c r="D33" s="424"/>
      <c r="E33" s="609" t="s">
        <v>357</v>
      </c>
      <c r="F33" s="610"/>
      <c r="G33" s="611"/>
      <c r="I33" s="1" t="s">
        <v>421</v>
      </c>
      <c r="L33" s="1">
        <v>2</v>
      </c>
    </row>
    <row r="34" spans="2:12" ht="14.25" thickBot="1" x14ac:dyDescent="0.3">
      <c r="B34" s="423" t="s">
        <v>358</v>
      </c>
      <c r="C34" s="410"/>
      <c r="D34" s="424"/>
      <c r="E34" s="425" t="s">
        <v>359</v>
      </c>
      <c r="F34" s="101"/>
      <c r="G34" s="426">
        <f>EDATE(E4,G28)</f>
        <v>49796</v>
      </c>
      <c r="I34" s="1" t="s">
        <v>422</v>
      </c>
      <c r="L34" s="3">
        <f>L32*L33</f>
        <v>217</v>
      </c>
    </row>
    <row r="35" spans="2:12" ht="15.75" customHeight="1" thickBot="1" x14ac:dyDescent="0.3">
      <c r="B35" s="612" t="s">
        <v>360</v>
      </c>
      <c r="C35" s="613"/>
      <c r="D35" s="614"/>
      <c r="E35" s="427" t="s">
        <v>361</v>
      </c>
      <c r="F35" s="428"/>
      <c r="G35" s="429">
        <f>IF(G28=G26,G22,SUM(G3-G31))</f>
        <v>3108.6099999999997</v>
      </c>
      <c r="H35" s="101"/>
      <c r="I35" s="1" t="s">
        <v>423</v>
      </c>
      <c r="L35" s="3">
        <f>L31-L34</f>
        <v>5859</v>
      </c>
    </row>
    <row r="36" spans="2:12" ht="15.75" customHeight="1" thickBot="1" x14ac:dyDescent="0.3">
      <c r="B36" s="615"/>
      <c r="C36" s="615"/>
      <c r="D36" s="615"/>
      <c r="E36" s="616" t="s">
        <v>362</v>
      </c>
      <c r="F36" s="617"/>
    </row>
    <row r="37" spans="2:12" ht="7.5" customHeight="1" x14ac:dyDescent="0.25"/>
    <row r="38" spans="2:12" x14ac:dyDescent="0.25">
      <c r="B38" s="109" t="s">
        <v>30</v>
      </c>
      <c r="C38" s="78"/>
      <c r="D38" s="78"/>
      <c r="E38" s="78"/>
      <c r="F38" s="99" t="s">
        <v>92</v>
      </c>
      <c r="G38" s="483">
        <f ca="1">TODAY()</f>
        <v>46164</v>
      </c>
    </row>
    <row r="39" spans="2:12" ht="6" customHeight="1" x14ac:dyDescent="0.25">
      <c r="B39" s="99"/>
      <c r="F39" s="99"/>
    </row>
    <row r="40" spans="2:12" x14ac:dyDescent="0.25">
      <c r="B40" s="109" t="s">
        <v>363</v>
      </c>
      <c r="C40" s="78"/>
      <c r="D40" s="78"/>
      <c r="E40" s="78"/>
      <c r="F40" s="99" t="s">
        <v>92</v>
      </c>
      <c r="G40" s="430"/>
    </row>
    <row r="41" spans="2:12" ht="6" customHeight="1" x14ac:dyDescent="0.25">
      <c r="B41" s="99"/>
      <c r="F41" s="99"/>
    </row>
    <row r="42" spans="2:12" x14ac:dyDescent="0.25">
      <c r="B42" s="109" t="s">
        <v>364</v>
      </c>
      <c r="C42" s="78"/>
      <c r="D42" s="78"/>
      <c r="E42" s="78"/>
      <c r="F42" s="99" t="s">
        <v>92</v>
      </c>
      <c r="G42" s="430"/>
    </row>
    <row r="54" spans="2:6" x14ac:dyDescent="0.25">
      <c r="B54" s="431"/>
      <c r="C54" s="12"/>
      <c r="D54" s="432"/>
      <c r="E54" s="433"/>
      <c r="F54" s="12"/>
    </row>
    <row r="55" spans="2:6" x14ac:dyDescent="0.25">
      <c r="B55" s="398"/>
      <c r="E55" s="398"/>
    </row>
    <row r="58" spans="2:6" x14ac:dyDescent="0.25">
      <c r="C58" s="12"/>
      <c r="D58" s="432"/>
    </row>
    <row r="59" spans="2:6" x14ac:dyDescent="0.25">
      <c r="B59" s="398"/>
    </row>
  </sheetData>
  <sheetProtection selectLockedCells="1"/>
  <mergeCells count="24">
    <mergeCell ref="E32:G32"/>
    <mergeCell ref="E33:G33"/>
    <mergeCell ref="B35:D35"/>
    <mergeCell ref="B36:D36"/>
    <mergeCell ref="E36:F36"/>
    <mergeCell ref="C29:E29"/>
    <mergeCell ref="A1:G1"/>
    <mergeCell ref="C4:D4"/>
    <mergeCell ref="F8:G8"/>
    <mergeCell ref="F9:G9"/>
    <mergeCell ref="D14:E14"/>
    <mergeCell ref="D22:E22"/>
    <mergeCell ref="D23:E23"/>
    <mergeCell ref="D24:E24"/>
    <mergeCell ref="D25:E25"/>
    <mergeCell ref="C26:E26"/>
    <mergeCell ref="C28:E28"/>
    <mergeCell ref="I1:O1"/>
    <mergeCell ref="K2:K3"/>
    <mergeCell ref="J2:J3"/>
    <mergeCell ref="L2:L3"/>
    <mergeCell ref="M2:M3"/>
    <mergeCell ref="N2:N3"/>
    <mergeCell ref="O2:O3"/>
  </mergeCells>
  <pageMargins left="0.25" right="0.25" top="0.75" bottom="0.75" header="0.3" footer="0.3"/>
  <pageSetup scale="89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3907-1569-424A-AEFC-AF6DE81F87D3}">
  <sheetPr>
    <pageSetUpPr fitToPage="1"/>
  </sheetPr>
  <dimension ref="A1:S373"/>
  <sheetViews>
    <sheetView zoomScaleNormal="100" workbookViewId="0">
      <selection activeCell="R43" sqref="R43"/>
    </sheetView>
  </sheetViews>
  <sheetFormatPr defaultColWidth="9.140625" defaultRowHeight="12.75" x14ac:dyDescent="0.2"/>
  <cols>
    <col min="1" max="1" width="15.140625" style="267" customWidth="1"/>
    <col min="2" max="2" width="12" style="267" customWidth="1"/>
    <col min="3" max="3" width="14.5703125" style="267" customWidth="1"/>
    <col min="4" max="4" width="12.5703125" style="267" customWidth="1"/>
    <col min="5" max="5" width="0.5703125" style="267" customWidth="1"/>
    <col min="6" max="6" width="14.42578125" style="267" customWidth="1"/>
    <col min="7" max="7" width="11" style="267" customWidth="1"/>
    <col min="8" max="8" width="14.140625" style="267" customWidth="1"/>
    <col min="9" max="9" width="21" style="267" customWidth="1"/>
    <col min="10" max="10" width="11" style="267" customWidth="1"/>
    <col min="11" max="11" width="1.28515625" style="267" customWidth="1"/>
    <col min="12" max="12" width="14.28515625" style="267" customWidth="1"/>
    <col min="13" max="13" width="8.5703125" style="267" customWidth="1"/>
    <col min="14" max="14" width="13.7109375" style="267" customWidth="1"/>
    <col min="15" max="16384" width="9.140625" style="267"/>
  </cols>
  <sheetData>
    <row r="1" spans="1:14" ht="15" customHeight="1" x14ac:dyDescent="0.2">
      <c r="A1" s="635" t="s">
        <v>290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</row>
    <row r="2" spans="1:14" x14ac:dyDescent="0.2">
      <c r="A2" s="349" t="s">
        <v>1</v>
      </c>
      <c r="B2" s="650" t="s">
        <v>371</v>
      </c>
      <c r="C2" s="650"/>
      <c r="D2" s="650"/>
      <c r="E2" s="650"/>
      <c r="F2" s="354"/>
      <c r="G2" s="399" t="s">
        <v>0</v>
      </c>
      <c r="H2" s="313" t="s">
        <v>370</v>
      </c>
      <c r="I2" s="354"/>
      <c r="J2" s="354"/>
      <c r="K2" s="354"/>
      <c r="L2" s="279"/>
      <c r="M2" s="279"/>
      <c r="N2" s="279"/>
    </row>
    <row r="3" spans="1:14" x14ac:dyDescent="0.2">
      <c r="A3" s="349" t="s">
        <v>317</v>
      </c>
      <c r="B3" s="351">
        <v>21470</v>
      </c>
      <c r="C3" s="349" t="s">
        <v>318</v>
      </c>
      <c r="D3" s="348" t="s">
        <v>374</v>
      </c>
      <c r="G3" s="279"/>
      <c r="H3" s="279"/>
      <c r="I3" s="279"/>
      <c r="J3" s="349"/>
      <c r="K3" s="349"/>
      <c r="M3" s="279"/>
      <c r="N3" s="279"/>
    </row>
    <row r="4" spans="1:14" x14ac:dyDescent="0.2">
      <c r="A4" s="279" t="s">
        <v>314</v>
      </c>
      <c r="C4" s="351">
        <v>45931</v>
      </c>
      <c r="D4" s="310"/>
      <c r="E4" s="279"/>
      <c r="G4" s="279"/>
      <c r="H4" s="279"/>
      <c r="I4" s="279"/>
      <c r="J4" s="279"/>
      <c r="K4" s="279"/>
      <c r="L4" s="279"/>
      <c r="M4" s="279"/>
      <c r="N4" s="279"/>
    </row>
    <row r="5" spans="1:14" x14ac:dyDescent="0.2">
      <c r="A5" s="349" t="s">
        <v>3</v>
      </c>
      <c r="B5" s="651" t="s">
        <v>373</v>
      </c>
      <c r="C5" s="651"/>
      <c r="D5" s="651"/>
      <c r="E5" s="651"/>
      <c r="F5" s="279"/>
      <c r="G5" s="350"/>
      <c r="H5" s="279"/>
      <c r="I5" s="279"/>
      <c r="J5" s="343"/>
      <c r="K5" s="343"/>
      <c r="L5" s="279"/>
      <c r="M5" s="343"/>
      <c r="N5" s="279"/>
    </row>
    <row r="6" spans="1:14" ht="13.5" x14ac:dyDescent="0.25">
      <c r="A6" s="349" t="s">
        <v>365</v>
      </c>
      <c r="B6" s="351">
        <v>22191</v>
      </c>
      <c r="C6" s="279" t="s">
        <v>318</v>
      </c>
      <c r="D6" s="348" t="s">
        <v>376</v>
      </c>
      <c r="E6" s="279"/>
      <c r="F6" s="539" t="str">
        <f>IF(B6=0,"","Prev. Spouse Age Difference from Member:")</f>
        <v>Prev. Spouse Age Difference from Member:</v>
      </c>
      <c r="G6" s="539"/>
      <c r="H6" s="539"/>
      <c r="I6" s="12">
        <f>IF(B6=0,"",IF(AND(B3-B6&lt;0,(DATEDIF(B3,C4,"m")-(DATEDIF(B3,C4,"y")*12))-(DATEDIF(B6,C4,"m")-(DATEDIF(B6,C4,"y")*12))=0),DATEDIF(B3,C4,"y")-DATEDIF(B6,C4,"y"),IF(AND(B3-B6&gt;0,(DATEDIF(B6,C4,"m")-(DATEDIF(B6,C4,"y")*12))-(DATEDIF(B3,C4,"m")-(DATEDIF(B3,C4,"y")*12))=0),DATEDIF(B6,C4,"y")-DATEDIF(B3,C4,"y"),IF(B3-B6&lt;0,ROUNDDOWN(YEARFRAC(B3,B6),0),IF(B3-B6&gt;0,ROUNDDOWN(YEARFRAC(B6,B3),0),0)))))</f>
        <v>2</v>
      </c>
      <c r="J6" s="1" t="str">
        <f>IF(B6=0,"",IF(I6=0,"No Difference.",IF(B3-B6&lt;0,"Year(s) Younger.", IF(B3-B6&gt;0, "Year(s) Older.","No Difference."))))</f>
        <v>Year(s) Younger.</v>
      </c>
      <c r="K6" s="350"/>
      <c r="L6" s="343"/>
      <c r="M6" s="350"/>
      <c r="N6" s="279"/>
    </row>
    <row r="7" spans="1:14" x14ac:dyDescent="0.2">
      <c r="B7" s="651" t="s">
        <v>373</v>
      </c>
      <c r="C7" s="651"/>
      <c r="D7" s="651"/>
      <c r="E7" s="651"/>
      <c r="F7" s="349"/>
      <c r="H7" s="279"/>
      <c r="I7" s="279"/>
      <c r="J7" s="399"/>
      <c r="K7" s="279"/>
      <c r="L7" s="279"/>
      <c r="M7" s="399"/>
      <c r="N7" s="279"/>
    </row>
    <row r="8" spans="1:14" ht="14.25" thickBot="1" x14ac:dyDescent="0.3">
      <c r="A8" s="349" t="s">
        <v>366</v>
      </c>
      <c r="B8" s="351">
        <v>22191</v>
      </c>
      <c r="C8" s="279" t="s">
        <v>318</v>
      </c>
      <c r="D8" s="348" t="s">
        <v>375</v>
      </c>
      <c r="E8" s="346"/>
      <c r="F8" s="539" t="str">
        <f>IF(B8=0,"","Currn. Spouse Age Difference from Member:")</f>
        <v>Currn. Spouse Age Difference from Member:</v>
      </c>
      <c r="G8" s="539"/>
      <c r="H8" s="539"/>
      <c r="I8" s="434">
        <f>IF(B8=0,"",IF(AND(B3-B8&lt;0,(DATEDIF(B3,C4,"m")-(DATEDIF(B3,C4,"y")*12))-(DATEDIF(B8,C4,"m")-(DATEDIF(B8,C4,"y")*12))=0),DATEDIF(B3,C4,"y")-DATEDIF(B8,C4,"y"),IF(AND(B3-B8&gt;0,(DATEDIF(B8,C4,"m")-(DATEDIF(B8,C4,"y")*12))-(DATEDIF(B3,C4,"m")-(DATEDIF(B3,C4,"y")*12))=0),DATEDIF(B8,C4,"y")-DATEDIF(B3,C4,"y"),IF(B3-B8&lt;0,ROUNDDOWN(YEARFRAC(B3,B8),0),IF(B3-B8&gt;0,ROUNDDOWN(YEARFRAC(B8,B3),0),0)))))</f>
        <v>2</v>
      </c>
      <c r="J8" s="1" t="str">
        <f>IF(B8=0,"",IF(I8=0,"No Difference.",IF(B3-B8&lt;0,"Year(s) Younger.", IF(B3-B8&gt;0, "Year(s) Older.","No Difference."))))</f>
        <v>Year(s) Younger.</v>
      </c>
      <c r="K8" s="279"/>
      <c r="L8" s="279"/>
      <c r="M8" s="279"/>
      <c r="N8" s="279"/>
    </row>
    <row r="9" spans="1:14" ht="15.75" customHeight="1" thickBot="1" x14ac:dyDescent="0.25">
      <c r="A9" s="636" t="s">
        <v>8</v>
      </c>
      <c r="B9" s="637"/>
      <c r="C9" s="637"/>
      <c r="D9" s="638"/>
      <c r="E9" s="344"/>
      <c r="F9" s="631" t="s">
        <v>273</v>
      </c>
      <c r="G9" s="632"/>
      <c r="H9" s="632"/>
      <c r="I9" s="632"/>
      <c r="J9" s="633"/>
      <c r="K9" s="322"/>
      <c r="L9" s="643" t="s">
        <v>272</v>
      </c>
      <c r="M9" s="644"/>
      <c r="N9" s="645"/>
    </row>
    <row r="10" spans="1:14" ht="13.5" thickBot="1" x14ac:dyDescent="0.25">
      <c r="A10" s="295" t="s">
        <v>316</v>
      </c>
      <c r="B10" s="294" t="s">
        <v>315</v>
      </c>
      <c r="C10" s="294" t="s">
        <v>9</v>
      </c>
      <c r="D10" s="293" t="s">
        <v>10</v>
      </c>
      <c r="E10" s="343"/>
      <c r="F10" s="322"/>
      <c r="G10" s="321"/>
      <c r="H10" s="321"/>
      <c r="I10" s="321" t="s">
        <v>367</v>
      </c>
      <c r="J10" s="435">
        <v>1.5</v>
      </c>
      <c r="K10" s="284"/>
      <c r="L10" s="342" t="s">
        <v>270</v>
      </c>
      <c r="M10" s="341" t="s">
        <v>269</v>
      </c>
      <c r="N10" s="340" t="s">
        <v>268</v>
      </c>
    </row>
    <row r="11" spans="1:14" x14ac:dyDescent="0.2">
      <c r="A11" s="437"/>
      <c r="B11" s="348"/>
      <c r="C11" s="448"/>
      <c r="D11" s="447">
        <f t="shared" ref="D11:D25" si="0">SUM((A11+B11)*C11)</f>
        <v>0</v>
      </c>
      <c r="E11" s="279"/>
      <c r="F11" s="322"/>
      <c r="G11" s="321"/>
      <c r="H11" s="321"/>
      <c r="I11" s="321" t="s">
        <v>368</v>
      </c>
      <c r="J11" s="479">
        <v>38.021999999999998</v>
      </c>
      <c r="K11" s="329"/>
      <c r="L11" s="336">
        <v>77</v>
      </c>
      <c r="M11" s="313">
        <v>36</v>
      </c>
      <c r="N11" s="276">
        <f t="shared" ref="N11:N16" si="1">SUM(L11*M11)</f>
        <v>2772</v>
      </c>
    </row>
    <row r="12" spans="1:14" x14ac:dyDescent="0.2">
      <c r="A12" s="437"/>
      <c r="B12" s="348"/>
      <c r="C12" s="448"/>
      <c r="D12" s="447">
        <f t="shared" si="0"/>
        <v>0</v>
      </c>
      <c r="E12" s="339"/>
      <c r="F12" s="284" t="s">
        <v>369</v>
      </c>
      <c r="G12" s="279"/>
      <c r="H12" s="325"/>
      <c r="I12" s="321" t="s">
        <v>53</v>
      </c>
      <c r="J12" s="436">
        <f>J10/J11</f>
        <v>3.9450844248066913E-2</v>
      </c>
      <c r="K12" s="334"/>
      <c r="L12" s="336"/>
      <c r="M12" s="335"/>
      <c r="N12" s="276">
        <f t="shared" si="1"/>
        <v>0</v>
      </c>
    </row>
    <row r="13" spans="1:14" x14ac:dyDescent="0.2">
      <c r="A13" s="437"/>
      <c r="B13" s="348"/>
      <c r="C13" s="448"/>
      <c r="D13" s="447">
        <f t="shared" si="0"/>
        <v>0</v>
      </c>
      <c r="E13" s="338"/>
      <c r="F13" s="319" t="s">
        <v>260</v>
      </c>
      <c r="G13" s="324"/>
      <c r="H13" s="279"/>
      <c r="I13" s="331" t="s">
        <v>265</v>
      </c>
      <c r="J13" s="445">
        <f>IF(DATEDIF(B3,C4,"m")&lt;=600,(DATEDIF(B3,C4,"m")-540)*0.1%+40%,IF(DATEDIF(B3,C4,"m")&lt;=660,(DATEDIF(B3,C4,"m")-600)*0.2%+46%,IF((DATEDIF(B3,C4,"m")-660)*0.5%+58%&gt;=100%,100%,(DATEDIF(B3,C4,"m")-660)*0.5%+58%)))</f>
        <v>1</v>
      </c>
      <c r="K13" s="329"/>
      <c r="L13" s="336"/>
      <c r="M13" s="335"/>
      <c r="N13" s="276">
        <f t="shared" si="1"/>
        <v>0</v>
      </c>
    </row>
    <row r="14" spans="1:14" x14ac:dyDescent="0.2">
      <c r="A14" s="437"/>
      <c r="B14" s="348"/>
      <c r="C14" s="448"/>
      <c r="D14" s="447">
        <f t="shared" si="0"/>
        <v>0</v>
      </c>
      <c r="E14" s="279"/>
      <c r="F14" s="284"/>
      <c r="G14" s="279"/>
      <c r="H14" s="279"/>
      <c r="I14" s="331"/>
      <c r="J14" s="273">
        <f>SUM(B11*C11,B12*C12,B13*C13,B14*C14,B15*C15,B16*C16,B17*C17,B18*C18,B19*C19,B20*C20,B21*C21,B22*C22,B23*C23,B24*C24,B25*C25)</f>
        <v>0</v>
      </c>
      <c r="K14" s="329"/>
      <c r="L14" s="336"/>
      <c r="M14" s="335"/>
      <c r="N14" s="276">
        <f t="shared" si="1"/>
        <v>0</v>
      </c>
    </row>
    <row r="15" spans="1:14" x14ac:dyDescent="0.2">
      <c r="A15" s="437">
        <v>0.5</v>
      </c>
      <c r="B15" s="348"/>
      <c r="C15" s="448">
        <v>50</v>
      </c>
      <c r="D15" s="447">
        <f t="shared" si="0"/>
        <v>25</v>
      </c>
      <c r="E15" s="279"/>
      <c r="F15" s="284" t="s">
        <v>267</v>
      </c>
      <c r="G15" s="279"/>
      <c r="H15" s="279"/>
      <c r="I15" s="279"/>
      <c r="J15" s="276">
        <f>SUM(D34)</f>
        <v>0</v>
      </c>
      <c r="K15" s="329"/>
      <c r="L15" s="336"/>
      <c r="M15" s="335"/>
      <c r="N15" s="276">
        <f t="shared" si="1"/>
        <v>0</v>
      </c>
    </row>
    <row r="16" spans="1:14" ht="13.5" thickBot="1" x14ac:dyDescent="0.25">
      <c r="A16" s="437"/>
      <c r="B16" s="348"/>
      <c r="C16" s="440">
        <v>70</v>
      </c>
      <c r="D16" s="447">
        <f t="shared" si="0"/>
        <v>0</v>
      </c>
      <c r="E16" s="279"/>
      <c r="F16" s="319" t="s">
        <v>260</v>
      </c>
      <c r="G16" s="324"/>
      <c r="H16" s="279"/>
      <c r="I16" s="331" t="s">
        <v>265</v>
      </c>
      <c r="J16" s="445">
        <f>IF(DATEDIF(B3,C4,"m")&lt;=600,(DATEDIF(B3,C4,"m")-540)*0.1%+22%,IF(DATEDIF(B3,C4,"m")&lt;=660,(DATEDIF(B3,C4,"m")-600)*0.2%+28%,IF((DATEDIF(B3,C4,"m")-660)*0.5%+40%&gt;=100%,100%,(DATEDIF(B3,C4,"m")-660)*0.5%+40%)))</f>
        <v>1</v>
      </c>
      <c r="K16" s="334"/>
      <c r="L16" s="333"/>
      <c r="M16" s="332"/>
      <c r="N16" s="276">
        <f t="shared" si="1"/>
        <v>0</v>
      </c>
    </row>
    <row r="17" spans="1:19" ht="13.5" thickBot="1" x14ac:dyDescent="0.25">
      <c r="A17" s="437"/>
      <c r="B17" s="348"/>
      <c r="C17" s="440">
        <v>80</v>
      </c>
      <c r="D17" s="447">
        <f t="shared" si="0"/>
        <v>0</v>
      </c>
      <c r="E17" s="279"/>
      <c r="F17" s="284"/>
      <c r="G17" s="279"/>
      <c r="H17" s="279"/>
      <c r="I17" s="279"/>
      <c r="J17" s="273">
        <f>SUM(J15*J16)</f>
        <v>0</v>
      </c>
      <c r="K17" s="329"/>
      <c r="L17" s="620" t="s">
        <v>264</v>
      </c>
      <c r="M17" s="621"/>
      <c r="N17" s="328">
        <f>SUM(N11:N16)</f>
        <v>2772</v>
      </c>
    </row>
    <row r="18" spans="1:19" x14ac:dyDescent="0.2">
      <c r="A18" s="437"/>
      <c r="B18" s="348"/>
      <c r="C18" s="441">
        <v>82</v>
      </c>
      <c r="D18" s="447">
        <f t="shared" si="0"/>
        <v>0</v>
      </c>
      <c r="E18" s="279"/>
      <c r="F18" s="284" t="s">
        <v>266</v>
      </c>
      <c r="G18" s="279"/>
      <c r="H18" s="279"/>
      <c r="I18" s="279"/>
      <c r="J18" s="276">
        <f>SUM(D41)</f>
        <v>0</v>
      </c>
      <c r="K18" s="284"/>
      <c r="L18" s="631" t="s">
        <v>261</v>
      </c>
      <c r="M18" s="632"/>
      <c r="N18" s="633"/>
    </row>
    <row r="19" spans="1:19" x14ac:dyDescent="0.2">
      <c r="A19" s="438"/>
      <c r="B19" s="439"/>
      <c r="C19" s="441">
        <v>85</v>
      </c>
      <c r="D19" s="447">
        <f t="shared" si="0"/>
        <v>0</v>
      </c>
      <c r="E19" s="279"/>
      <c r="F19" s="646" t="s">
        <v>260</v>
      </c>
      <c r="G19" s="647"/>
      <c r="H19" s="279"/>
      <c r="I19" s="331" t="s">
        <v>265</v>
      </c>
      <c r="J19" s="330">
        <f>IF(DATEDIF(B3,C4,"m")&lt;=600,(DATEDIF(B3,C4,"m")-540)*0.1%+22%,IF(DATEDIF(B3,C4,"m")&lt;=660,(DATEDIF(B3,C4,"m")-600)*0.2%+28%,IF((DATEDIF(B3,C4,"m")-660)*0.5%+40%&gt;=100%,100%,(DATEDIF(B3,C4,"m")-660)*0.5%+40%)))</f>
        <v>1</v>
      </c>
      <c r="K19" s="289"/>
      <c r="L19" s="377" t="s">
        <v>313</v>
      </c>
      <c r="M19" s="331"/>
      <c r="N19" s="376"/>
    </row>
    <row r="20" spans="1:19" x14ac:dyDescent="0.2">
      <c r="A20" s="437"/>
      <c r="B20" s="348"/>
      <c r="C20" s="441">
        <v>90</v>
      </c>
      <c r="D20" s="447">
        <f t="shared" si="0"/>
        <v>0</v>
      </c>
      <c r="E20" s="279"/>
      <c r="F20" s="284"/>
      <c r="G20" s="279"/>
      <c r="H20" s="279"/>
      <c r="I20" s="279"/>
      <c r="J20" s="273">
        <f>SUM(J18*J19)</f>
        <v>0</v>
      </c>
      <c r="K20" s="279"/>
      <c r="L20" s="322" t="s">
        <v>23</v>
      </c>
      <c r="M20" s="321" t="s">
        <v>24</v>
      </c>
      <c r="N20" s="320" t="s">
        <v>255</v>
      </c>
    </row>
    <row r="21" spans="1:19" x14ac:dyDescent="0.2">
      <c r="A21" s="437"/>
      <c r="B21" s="348"/>
      <c r="C21" s="441">
        <v>100</v>
      </c>
      <c r="D21" s="447">
        <f t="shared" si="0"/>
        <v>0</v>
      </c>
      <c r="E21" s="279"/>
      <c r="F21" s="648" t="s">
        <v>263</v>
      </c>
      <c r="G21" s="649"/>
      <c r="H21" s="642" t="s">
        <v>262</v>
      </c>
      <c r="I21" s="642"/>
      <c r="J21" s="446">
        <f>SUM(A11*C11,A12*C12,A13*C13,A14*C14,A15*C15,A16*C16,A17*C17,A18*C18,A19*C19,A20*C20,A21*C21,A22*C22,A23*C23,A24*C24,A25*C25)*J12</f>
        <v>146.07085371626954</v>
      </c>
      <c r="K21" s="279"/>
      <c r="L21" s="364">
        <v>1</v>
      </c>
      <c r="M21" s="308">
        <v>0.84</v>
      </c>
      <c r="N21" s="276">
        <f>J35*M21</f>
        <v>106.33242266056494</v>
      </c>
    </row>
    <row r="22" spans="1:19" x14ac:dyDescent="0.2">
      <c r="A22" s="437">
        <v>3.33</v>
      </c>
      <c r="B22" s="348"/>
      <c r="C22" s="441">
        <v>105</v>
      </c>
      <c r="D22" s="447">
        <f t="shared" si="0"/>
        <v>349.65000000000003</v>
      </c>
      <c r="E22" s="279"/>
      <c r="F22" s="319" t="s">
        <v>312</v>
      </c>
      <c r="G22" s="324"/>
      <c r="H22" s="642" t="s">
        <v>259</v>
      </c>
      <c r="I22" s="642"/>
      <c r="J22" s="446">
        <f>SUM(A31*C31,A32*C32)*J12</f>
        <v>8.2353637367839685</v>
      </c>
      <c r="K22" s="279"/>
      <c r="L22" s="306" t="s">
        <v>243</v>
      </c>
      <c r="M22" s="279"/>
      <c r="N22" s="276">
        <f>((J24+J25)-J32)*M21</f>
        <v>106.33242266056494</v>
      </c>
    </row>
    <row r="23" spans="1:19" x14ac:dyDescent="0.2">
      <c r="A23" s="437"/>
      <c r="B23" s="348"/>
      <c r="C23" s="441">
        <v>115</v>
      </c>
      <c r="D23" s="447">
        <f t="shared" si="0"/>
        <v>0</v>
      </c>
      <c r="E23" s="279"/>
      <c r="F23" s="319" t="s">
        <v>311</v>
      </c>
      <c r="G23" s="324"/>
      <c r="H23" s="642" t="s">
        <v>256</v>
      </c>
      <c r="I23" s="642"/>
      <c r="J23" s="446">
        <f>SUM(A38*C38,A39*C39)*J12</f>
        <v>0</v>
      </c>
      <c r="K23" s="279"/>
      <c r="L23" s="306" t="s">
        <v>241</v>
      </c>
      <c r="M23" s="305" t="s">
        <v>238</v>
      </c>
      <c r="N23" s="304">
        <f>SUM(N21*L21)</f>
        <v>106.33242266056494</v>
      </c>
    </row>
    <row r="24" spans="1:19" ht="13.5" thickBot="1" x14ac:dyDescent="0.25">
      <c r="A24" s="437"/>
      <c r="B24" s="348"/>
      <c r="C24" s="441">
        <v>125</v>
      </c>
      <c r="D24" s="447">
        <f t="shared" si="0"/>
        <v>0</v>
      </c>
      <c r="E24" s="279"/>
      <c r="F24" s="319" t="s">
        <v>310</v>
      </c>
      <c r="G24" s="318"/>
      <c r="H24" s="642" t="s">
        <v>253</v>
      </c>
      <c r="I24" s="642"/>
      <c r="J24" s="273">
        <f>SUM(J21*J13)</f>
        <v>146.07085371626954</v>
      </c>
      <c r="K24" s="279"/>
      <c r="L24" s="375" t="s">
        <v>239</v>
      </c>
      <c r="M24" s="374" t="s">
        <v>238</v>
      </c>
      <c r="N24" s="269">
        <f>SUM(N22*L21)</f>
        <v>106.33242266056494</v>
      </c>
    </row>
    <row r="25" spans="1:19" ht="13.5" thickBot="1" x14ac:dyDescent="0.25">
      <c r="A25" s="437">
        <v>28.202999999999999</v>
      </c>
      <c r="B25" s="348"/>
      <c r="C25" s="441">
        <v>118</v>
      </c>
      <c r="D25" s="447">
        <f t="shared" si="0"/>
        <v>3327.9539999999997</v>
      </c>
      <c r="E25" s="279"/>
      <c r="F25" s="278"/>
      <c r="H25" s="277"/>
      <c r="I25" s="277" t="s">
        <v>252</v>
      </c>
      <c r="J25" s="273">
        <f>SUM(J22*J16)</f>
        <v>8.2353637367839685</v>
      </c>
      <c r="K25" s="315"/>
      <c r="L25" s="631" t="s">
        <v>261</v>
      </c>
      <c r="M25" s="632"/>
      <c r="N25" s="633"/>
    </row>
    <row r="26" spans="1:19" x14ac:dyDescent="0.2">
      <c r="A26" s="378" t="s">
        <v>316</v>
      </c>
      <c r="B26" s="286" t="s">
        <v>315</v>
      </c>
      <c r="C26" s="286"/>
      <c r="D26" s="285" t="s">
        <v>225</v>
      </c>
      <c r="E26" s="279"/>
      <c r="F26" s="278"/>
      <c r="H26" s="277"/>
      <c r="I26" s="277" t="s">
        <v>251</v>
      </c>
      <c r="J26" s="273">
        <f>SUM(J23*J19)</f>
        <v>0</v>
      </c>
      <c r="K26" s="279"/>
      <c r="L26" s="624" t="s">
        <v>258</v>
      </c>
      <c r="M26" s="625"/>
      <c r="N26" s="626"/>
      <c r="P26" s="315"/>
      <c r="Q26" s="315"/>
      <c r="R26" s="315"/>
      <c r="S26" s="315"/>
    </row>
    <row r="27" spans="1:19" ht="13.5" thickBot="1" x14ac:dyDescent="0.25">
      <c r="A27" s="283">
        <f>SUM(A12:A25)</f>
        <v>32.033000000000001</v>
      </c>
      <c r="B27" s="379">
        <f>SUM(B12:B25)</f>
        <v>0</v>
      </c>
      <c r="C27" s="282"/>
      <c r="D27" s="281">
        <f>SUM(D12:D25)</f>
        <v>3702.6039999999998</v>
      </c>
      <c r="E27" s="279"/>
      <c r="F27" s="622" t="s">
        <v>250</v>
      </c>
      <c r="G27" s="623"/>
      <c r="H27" s="623"/>
      <c r="I27" s="623"/>
      <c r="J27" s="316">
        <f>SUM(J24+J25+J26)</f>
        <v>154.30621745305351</v>
      </c>
      <c r="K27" s="279"/>
      <c r="L27" s="322" t="s">
        <v>23</v>
      </c>
      <c r="M27" s="321" t="s">
        <v>24</v>
      </c>
      <c r="N27" s="320" t="s">
        <v>255</v>
      </c>
    </row>
    <row r="28" spans="1:19" x14ac:dyDescent="0.2">
      <c r="A28" s="382"/>
      <c r="B28" s="380"/>
      <c r="C28" s="380"/>
      <c r="D28" s="381"/>
      <c r="E28" s="279"/>
      <c r="F28" s="631" t="s">
        <v>249</v>
      </c>
      <c r="G28" s="632"/>
      <c r="H28" s="632"/>
      <c r="I28" s="632"/>
      <c r="J28" s="633"/>
      <c r="K28" s="279"/>
      <c r="L28" s="309">
        <v>0.5</v>
      </c>
      <c r="M28" s="308">
        <v>0.91200000000000003</v>
      </c>
      <c r="N28" s="276">
        <f>SUM(J38*M28)</f>
        <v>0</v>
      </c>
    </row>
    <row r="29" spans="1:19" ht="15.75" customHeight="1" thickBot="1" x14ac:dyDescent="0.25">
      <c r="A29" s="639" t="s">
        <v>12</v>
      </c>
      <c r="B29" s="640"/>
      <c r="C29" s="640"/>
      <c r="D29" s="641"/>
      <c r="E29" s="279"/>
      <c r="F29" s="284" t="s">
        <v>248</v>
      </c>
      <c r="G29" s="279"/>
      <c r="H29" s="348" t="s">
        <v>372</v>
      </c>
      <c r="I29" s="279"/>
      <c r="J29" s="311"/>
      <c r="K29" s="279"/>
      <c r="L29" s="306" t="s">
        <v>243</v>
      </c>
      <c r="M29" s="279"/>
      <c r="N29" s="276">
        <f>SUM((J14+J17)*M28)</f>
        <v>0</v>
      </c>
    </row>
    <row r="30" spans="1:19" ht="13.5" thickBot="1" x14ac:dyDescent="0.25">
      <c r="A30" s="295" t="s">
        <v>316</v>
      </c>
      <c r="B30" s="294" t="s">
        <v>315</v>
      </c>
      <c r="C30" s="294" t="s">
        <v>9</v>
      </c>
      <c r="D30" s="293" t="s">
        <v>10</v>
      </c>
      <c r="E30" s="279"/>
      <c r="F30" s="284" t="s">
        <v>246</v>
      </c>
      <c r="G30" s="279"/>
      <c r="H30" s="351">
        <v>41760</v>
      </c>
      <c r="I30" s="279"/>
      <c r="J30" s="311"/>
      <c r="K30" s="279"/>
      <c r="L30" s="306" t="s">
        <v>241</v>
      </c>
      <c r="M30" s="305" t="s">
        <v>238</v>
      </c>
      <c r="N30" s="276">
        <f>SUM(N28*50%)</f>
        <v>0</v>
      </c>
    </row>
    <row r="31" spans="1:19" x14ac:dyDescent="0.2">
      <c r="A31" s="348">
        <v>1.67</v>
      </c>
      <c r="B31" s="348"/>
      <c r="C31" s="442">
        <v>125</v>
      </c>
      <c r="D31" s="447">
        <f>SUM((A31+B31)*C31)</f>
        <v>208.75</v>
      </c>
      <c r="E31" s="279"/>
      <c r="F31" s="284" t="s">
        <v>245</v>
      </c>
      <c r="G31" s="279"/>
      <c r="H31" s="279"/>
      <c r="I31" s="279"/>
      <c r="J31" s="276">
        <f>SUM(N17)</f>
        <v>2772</v>
      </c>
      <c r="K31" s="279"/>
      <c r="L31" s="306" t="s">
        <v>239</v>
      </c>
      <c r="M31" s="310" t="s">
        <v>238</v>
      </c>
      <c r="N31" s="276">
        <f>SUM(N29*0.5)</f>
        <v>0</v>
      </c>
    </row>
    <row r="32" spans="1:19" ht="13.5" thickBot="1" x14ac:dyDescent="0.25">
      <c r="A32" s="348"/>
      <c r="B32" s="348"/>
      <c r="C32" s="443">
        <v>90</v>
      </c>
      <c r="D32" s="447">
        <f>SUM((A32+B32)*C32)</f>
        <v>0</v>
      </c>
      <c r="E32" s="279"/>
      <c r="F32" s="284" t="s">
        <v>244</v>
      </c>
      <c r="G32" s="279"/>
      <c r="H32" s="279"/>
      <c r="I32" s="279"/>
      <c r="J32" s="276">
        <f>SUM(J31*1%)</f>
        <v>27.72</v>
      </c>
      <c r="K32" s="279"/>
      <c r="L32" s="309">
        <v>0.75</v>
      </c>
      <c r="M32" s="308">
        <v>0.872</v>
      </c>
      <c r="N32" s="276">
        <f>SUM(J38*M32)</f>
        <v>0</v>
      </c>
    </row>
    <row r="33" spans="1:14" x14ac:dyDescent="0.2">
      <c r="A33" s="378" t="s">
        <v>316</v>
      </c>
      <c r="B33" s="286" t="s">
        <v>315</v>
      </c>
      <c r="C33" s="286"/>
      <c r="D33" s="285" t="s">
        <v>225</v>
      </c>
      <c r="E33" s="279"/>
      <c r="F33" s="652" t="s">
        <v>242</v>
      </c>
      <c r="G33" s="653"/>
      <c r="H33" s="653"/>
      <c r="I33" s="653"/>
      <c r="J33" s="654"/>
      <c r="K33" s="279"/>
      <c r="L33" s="306" t="s">
        <v>243</v>
      </c>
      <c r="M33" s="279"/>
      <c r="N33" s="276">
        <f>SUM((J14+J17)*M32)</f>
        <v>0</v>
      </c>
    </row>
    <row r="34" spans="1:14" ht="13.5" thickBot="1" x14ac:dyDescent="0.25">
      <c r="A34" s="283">
        <f>SUM(A31+A32)</f>
        <v>1.67</v>
      </c>
      <c r="B34" s="379">
        <f>SUM(B31+B32)</f>
        <v>0</v>
      </c>
      <c r="C34" s="282"/>
      <c r="D34" s="281">
        <f>SUM(D32)</f>
        <v>0</v>
      </c>
      <c r="E34" s="279"/>
      <c r="F34" s="652" t="s">
        <v>296</v>
      </c>
      <c r="G34" s="653"/>
      <c r="H34" s="653"/>
      <c r="I34" s="653"/>
      <c r="J34" s="654"/>
      <c r="K34" s="279"/>
      <c r="L34" s="306" t="s">
        <v>241</v>
      </c>
      <c r="M34" s="305" t="s">
        <v>238</v>
      </c>
      <c r="N34" s="276">
        <f>SUM(N32*75%)</f>
        <v>0</v>
      </c>
    </row>
    <row r="35" spans="1:14" x14ac:dyDescent="0.2">
      <c r="A35" s="382"/>
      <c r="B35" s="382"/>
      <c r="C35" s="382"/>
      <c r="D35" s="383"/>
      <c r="E35" s="279"/>
      <c r="F35" s="284" t="s">
        <v>377</v>
      </c>
      <c r="G35" s="279"/>
      <c r="H35" s="279"/>
      <c r="I35" s="279"/>
      <c r="J35" s="276">
        <f>SUM(J27-J32)</f>
        <v>126.58621745305351</v>
      </c>
      <c r="K35" s="279"/>
      <c r="L35" s="306" t="s">
        <v>239</v>
      </c>
      <c r="M35" s="310" t="s">
        <v>238</v>
      </c>
      <c r="N35" s="276">
        <f>SUM(N33*0.75)</f>
        <v>0</v>
      </c>
    </row>
    <row r="36" spans="1:14" ht="15.75" customHeight="1" thickBot="1" x14ac:dyDescent="0.25">
      <c r="A36" s="639" t="s">
        <v>13</v>
      </c>
      <c r="B36" s="640"/>
      <c r="C36" s="640"/>
      <c r="D36" s="641"/>
      <c r="E36" s="279"/>
      <c r="F36" s="298" t="s">
        <v>309</v>
      </c>
      <c r="G36" s="373"/>
      <c r="H36" s="373"/>
      <c r="I36" s="373"/>
      <c r="J36" s="372">
        <v>91.65</v>
      </c>
      <c r="K36" s="279"/>
      <c r="L36" s="309">
        <v>1</v>
      </c>
      <c r="M36" s="308">
        <v>0.84</v>
      </c>
      <c r="N36" s="276">
        <f>SUM(J38*M36)</f>
        <v>0</v>
      </c>
    </row>
    <row r="37" spans="1:14" ht="13.5" thickBot="1" x14ac:dyDescent="0.25">
      <c r="A37" s="295" t="s">
        <v>316</v>
      </c>
      <c r="B37" s="294" t="s">
        <v>315</v>
      </c>
      <c r="C37" s="294" t="s">
        <v>9</v>
      </c>
      <c r="D37" s="293" t="s">
        <v>10</v>
      </c>
      <c r="E37" s="279"/>
      <c r="F37" s="298" t="s">
        <v>308</v>
      </c>
      <c r="G37" s="373"/>
      <c r="H37" s="373"/>
      <c r="I37" s="373"/>
      <c r="J37" s="372">
        <v>91.65</v>
      </c>
      <c r="L37" s="306" t="s">
        <v>243</v>
      </c>
      <c r="M37" s="279"/>
      <c r="N37" s="276">
        <f>SUM((J14+J17)*M36)</f>
        <v>0</v>
      </c>
    </row>
    <row r="38" spans="1:14" x14ac:dyDescent="0.2">
      <c r="A38" s="348"/>
      <c r="B38" s="348"/>
      <c r="C38" s="444">
        <v>135</v>
      </c>
      <c r="D38" s="288">
        <f>SUM((A38+B38)*C38)</f>
        <v>0</v>
      </c>
      <c r="E38" s="279"/>
      <c r="F38" s="275" t="s">
        <v>307</v>
      </c>
      <c r="G38" s="274"/>
      <c r="H38" s="274"/>
      <c r="I38" s="274"/>
      <c r="J38" s="280">
        <f>SUM(J14+J17+J20)</f>
        <v>0</v>
      </c>
      <c r="L38" s="306" t="s">
        <v>241</v>
      </c>
      <c r="M38" s="305" t="s">
        <v>238</v>
      </c>
      <c r="N38" s="276">
        <f>SUM(N36)</f>
        <v>0</v>
      </c>
    </row>
    <row r="39" spans="1:14" ht="13.5" thickBot="1" x14ac:dyDescent="0.25">
      <c r="A39" s="348"/>
      <c r="B39" s="348"/>
      <c r="C39" s="444">
        <v>105</v>
      </c>
      <c r="D39" s="288">
        <f>SUM((A39+B39)*C39)</f>
        <v>0</v>
      </c>
      <c r="E39" s="279"/>
      <c r="F39" s="278"/>
      <c r="H39" s="277" t="s">
        <v>222</v>
      </c>
      <c r="I39" s="277"/>
      <c r="J39" s="276">
        <f>SUM(J14+J17)</f>
        <v>0</v>
      </c>
      <c r="L39" s="303" t="s">
        <v>239</v>
      </c>
      <c r="M39" s="302" t="s">
        <v>238</v>
      </c>
      <c r="N39" s="269">
        <f>SUM(N37)</f>
        <v>0</v>
      </c>
    </row>
    <row r="40" spans="1:14" x14ac:dyDescent="0.2">
      <c r="A40" s="378" t="s">
        <v>316</v>
      </c>
      <c r="B40" s="286" t="s">
        <v>315</v>
      </c>
      <c r="C40" s="286"/>
      <c r="D40" s="285" t="s">
        <v>225</v>
      </c>
      <c r="E40" s="279"/>
      <c r="F40" s="275" t="s">
        <v>306</v>
      </c>
      <c r="G40" s="274"/>
      <c r="H40" s="274"/>
      <c r="I40" s="274"/>
      <c r="J40" s="280">
        <f>SUM(J35+N28)</f>
        <v>126.58621745305351</v>
      </c>
      <c r="L40" s="634" t="s">
        <v>235</v>
      </c>
      <c r="M40" s="634"/>
      <c r="N40" s="634"/>
    </row>
    <row r="41" spans="1:14" ht="13.5" thickBot="1" x14ac:dyDescent="0.25">
      <c r="A41" s="283">
        <f>SUM(A38+A39)</f>
        <v>0</v>
      </c>
      <c r="B41" s="379">
        <f>SUM(B38+B39)</f>
        <v>0</v>
      </c>
      <c r="C41" s="282"/>
      <c r="D41" s="281">
        <f>SUM(D38:D39)</f>
        <v>0</v>
      </c>
      <c r="E41" s="279"/>
      <c r="F41" s="284"/>
      <c r="G41" s="279"/>
      <c r="H41" s="277" t="s">
        <v>222</v>
      </c>
      <c r="I41" s="277"/>
      <c r="J41" s="276">
        <f>SUM(((N22-J32)+N29))</f>
        <v>78.612422660564945</v>
      </c>
      <c r="K41" s="279"/>
      <c r="L41" s="655" t="s">
        <v>233</v>
      </c>
      <c r="M41" s="655"/>
      <c r="N41" s="655"/>
    </row>
    <row r="42" spans="1:14" x14ac:dyDescent="0.2">
      <c r="F42" s="275" t="s">
        <v>305</v>
      </c>
      <c r="G42" s="274"/>
      <c r="H42" s="274"/>
      <c r="I42" s="274"/>
      <c r="J42" s="280">
        <f>SUM(J35+N32)</f>
        <v>126.58621745305351</v>
      </c>
      <c r="L42" s="634" t="s">
        <v>230</v>
      </c>
      <c r="M42" s="634"/>
      <c r="N42" s="634"/>
    </row>
    <row r="43" spans="1:14" x14ac:dyDescent="0.2">
      <c r="F43" s="278"/>
      <c r="H43" s="277" t="s">
        <v>222</v>
      </c>
      <c r="I43" s="277"/>
      <c r="J43" s="276">
        <f>SUM((N22-J32)+N33)</f>
        <v>78.612422660564945</v>
      </c>
      <c r="K43" s="371"/>
      <c r="L43" s="656" t="s">
        <v>229</v>
      </c>
      <c r="M43" s="656"/>
      <c r="N43" s="656"/>
    </row>
    <row r="44" spans="1:14" x14ac:dyDescent="0.2">
      <c r="F44" s="275" t="s">
        <v>304</v>
      </c>
      <c r="G44" s="274"/>
      <c r="H44" s="274"/>
      <c r="I44" s="274"/>
      <c r="J44" s="273">
        <f>SUM(J35+N36)</f>
        <v>126.58621745305351</v>
      </c>
      <c r="K44" s="370"/>
      <c r="L44" s="657" t="s">
        <v>227</v>
      </c>
      <c r="M44" s="657"/>
      <c r="N44" s="657"/>
    </row>
    <row r="45" spans="1:14" ht="13.5" thickBot="1" x14ac:dyDescent="0.25">
      <c r="E45" s="354"/>
      <c r="F45" s="272"/>
      <c r="G45" s="271"/>
      <c r="H45" s="270" t="s">
        <v>222</v>
      </c>
      <c r="I45" s="270"/>
      <c r="J45" s="269">
        <f>SUM((N22-J32)+N37)</f>
        <v>78.612422660564945</v>
      </c>
      <c r="K45" s="354"/>
      <c r="L45" s="354"/>
      <c r="M45" s="354"/>
      <c r="N45" s="354"/>
    </row>
    <row r="46" spans="1:14" x14ac:dyDescent="0.2">
      <c r="E46" s="321"/>
      <c r="K46" s="321"/>
      <c r="L46" s="321"/>
      <c r="M46" s="321"/>
      <c r="N46" s="321"/>
    </row>
    <row r="47" spans="1:14" x14ac:dyDescent="0.2">
      <c r="B47" s="354" t="s">
        <v>290</v>
      </c>
      <c r="C47" s="354"/>
      <c r="D47" s="354"/>
      <c r="E47" s="354"/>
      <c r="F47" s="354"/>
      <c r="G47" s="354"/>
      <c r="H47" s="354"/>
      <c r="I47" s="354"/>
      <c r="J47" s="354"/>
      <c r="K47" s="354"/>
      <c r="L47" s="279"/>
      <c r="M47" s="279"/>
      <c r="N47" s="279"/>
    </row>
    <row r="48" spans="1:14" x14ac:dyDescent="0.2">
      <c r="B48" s="321" t="s">
        <v>303</v>
      </c>
      <c r="C48" s="321"/>
      <c r="D48" s="321"/>
      <c r="E48" s="353"/>
      <c r="F48" s="321"/>
      <c r="G48" s="321"/>
      <c r="H48" s="321"/>
      <c r="I48" s="321"/>
      <c r="J48" s="321"/>
      <c r="K48" s="349"/>
      <c r="L48" s="313"/>
      <c r="M48" s="279"/>
      <c r="N48" s="279"/>
    </row>
    <row r="49" spans="2:14" x14ac:dyDescent="0.2">
      <c r="B49" s="354"/>
      <c r="C49" s="354"/>
      <c r="D49" s="354"/>
      <c r="E49" s="310"/>
      <c r="F49" s="354"/>
      <c r="G49" s="354"/>
      <c r="H49" s="354"/>
      <c r="I49" s="354"/>
      <c r="J49" s="354"/>
      <c r="K49" s="279"/>
      <c r="L49" s="279"/>
      <c r="M49" s="279"/>
      <c r="N49" s="279"/>
    </row>
    <row r="50" spans="2:14" x14ac:dyDescent="0.2">
      <c r="B50" s="349" t="s">
        <v>288</v>
      </c>
      <c r="C50" s="313"/>
      <c r="D50" s="313"/>
      <c r="E50" s="279"/>
      <c r="F50" s="313"/>
      <c r="G50" s="279"/>
      <c r="H50" s="279"/>
      <c r="I50" s="279"/>
      <c r="J50" s="349" t="s">
        <v>286</v>
      </c>
      <c r="K50" s="343"/>
      <c r="L50" s="343" t="s">
        <v>281</v>
      </c>
      <c r="N50" s="279"/>
    </row>
    <row r="51" spans="2:14" x14ac:dyDescent="0.2">
      <c r="B51" s="279"/>
      <c r="C51" s="279"/>
      <c r="D51" s="279"/>
      <c r="E51" s="279"/>
      <c r="F51" s="279"/>
      <c r="G51" s="279"/>
      <c r="H51" s="279"/>
      <c r="I51" s="279"/>
      <c r="J51" s="279"/>
      <c r="K51" s="350"/>
      <c r="L51" s="350" t="s">
        <v>277</v>
      </c>
      <c r="N51" s="279"/>
    </row>
    <row r="52" spans="2:14" x14ac:dyDescent="0.2">
      <c r="B52" s="279"/>
      <c r="C52" s="279"/>
      <c r="D52" s="350" t="s">
        <v>283</v>
      </c>
      <c r="E52" s="279"/>
      <c r="F52" s="279"/>
      <c r="G52" s="350" t="s">
        <v>282</v>
      </c>
      <c r="H52" s="279"/>
      <c r="I52" s="343" t="s">
        <v>281</v>
      </c>
      <c r="K52" s="279"/>
      <c r="L52" s="348"/>
      <c r="N52" s="279"/>
    </row>
    <row r="53" spans="2:14" ht="13.5" thickBot="1" x14ac:dyDescent="0.25">
      <c r="B53" s="279"/>
      <c r="C53" s="349" t="s">
        <v>280</v>
      </c>
      <c r="D53" s="351"/>
      <c r="E53" s="346"/>
      <c r="F53" s="349" t="s">
        <v>280</v>
      </c>
      <c r="G53" s="351"/>
      <c r="H53" s="279"/>
      <c r="I53" s="350" t="s">
        <v>279</v>
      </c>
      <c r="J53" s="369" t="s">
        <v>302</v>
      </c>
      <c r="K53" s="279"/>
      <c r="L53" s="279"/>
      <c r="M53" s="279"/>
      <c r="N53" s="279"/>
    </row>
    <row r="54" spans="2:14" x14ac:dyDescent="0.2">
      <c r="B54" s="279"/>
      <c r="C54" s="349" t="s">
        <v>275</v>
      </c>
      <c r="D54" s="348"/>
      <c r="E54" s="344"/>
      <c r="F54" s="349" t="s">
        <v>275</v>
      </c>
      <c r="G54" s="348"/>
      <c r="H54" s="279"/>
      <c r="I54" s="348"/>
      <c r="K54" s="321"/>
      <c r="L54" s="643" t="s">
        <v>272</v>
      </c>
      <c r="M54" s="644"/>
      <c r="N54" s="645"/>
    </row>
    <row r="55" spans="2:14" ht="13.5" thickBot="1" x14ac:dyDescent="0.25">
      <c r="B55" s="346"/>
      <c r="C55" s="347"/>
      <c r="D55" s="279"/>
      <c r="E55" s="343"/>
      <c r="F55" s="279"/>
      <c r="G55" s="279"/>
      <c r="H55" s="346"/>
      <c r="I55" s="345"/>
      <c r="J55" s="279"/>
      <c r="K55" s="279"/>
      <c r="L55" s="342" t="s">
        <v>270</v>
      </c>
      <c r="M55" s="341" t="s">
        <v>269</v>
      </c>
      <c r="N55" s="340" t="s">
        <v>268</v>
      </c>
    </row>
    <row r="56" spans="2:14" ht="13.5" thickBot="1" x14ac:dyDescent="0.25">
      <c r="B56" s="636" t="s">
        <v>8</v>
      </c>
      <c r="C56" s="637"/>
      <c r="D56" s="638"/>
      <c r="E56" s="279"/>
      <c r="F56" s="631" t="s">
        <v>273</v>
      </c>
      <c r="G56" s="632"/>
      <c r="H56" s="632"/>
      <c r="I56" s="632"/>
      <c r="J56" s="633"/>
      <c r="K56" s="289"/>
      <c r="L56" s="336"/>
      <c r="M56" s="313"/>
      <c r="N56" s="276">
        <f t="shared" ref="N56:N61" si="2">SUM(L56*M56)</f>
        <v>0</v>
      </c>
    </row>
    <row r="57" spans="2:14" ht="13.5" thickBot="1" x14ac:dyDescent="0.25">
      <c r="B57" s="295" t="s">
        <v>232</v>
      </c>
      <c r="C57" s="294" t="s">
        <v>9</v>
      </c>
      <c r="D57" s="293" t="s">
        <v>10</v>
      </c>
      <c r="E57" s="339"/>
      <c r="F57" s="284" t="s">
        <v>271</v>
      </c>
      <c r="G57" s="279"/>
      <c r="H57" s="325"/>
      <c r="I57" s="331"/>
      <c r="J57" s="276">
        <f>SUM(D74)</f>
        <v>0</v>
      </c>
      <c r="K57" s="368"/>
      <c r="L57" s="336"/>
      <c r="M57" s="335"/>
      <c r="N57" s="276">
        <f t="shared" si="2"/>
        <v>0</v>
      </c>
    </row>
    <row r="58" spans="2:14" x14ac:dyDescent="0.2">
      <c r="B58" s="284"/>
      <c r="C58" s="279"/>
      <c r="D58" s="307"/>
      <c r="E58" s="338"/>
      <c r="F58" s="365" t="s">
        <v>260</v>
      </c>
      <c r="G58" s="366"/>
      <c r="H58" s="279"/>
      <c r="I58" s="331" t="s">
        <v>265</v>
      </c>
      <c r="J58" s="337"/>
      <c r="K58" s="289"/>
      <c r="L58" s="336"/>
      <c r="M58" s="335"/>
      <c r="N58" s="276">
        <f t="shared" si="2"/>
        <v>0</v>
      </c>
    </row>
    <row r="59" spans="2:14" x14ac:dyDescent="0.2">
      <c r="B59" s="290"/>
      <c r="C59" s="313"/>
      <c r="D59" s="288">
        <f t="shared" ref="D59:D72" si="3">SUM(B59*C59)</f>
        <v>0</v>
      </c>
      <c r="E59" s="279"/>
      <c r="F59" s="284"/>
      <c r="G59" s="279"/>
      <c r="H59" s="279"/>
      <c r="I59" s="331"/>
      <c r="J59" s="273">
        <f>SUM(J57*J58)</f>
        <v>0</v>
      </c>
      <c r="K59" s="289"/>
      <c r="L59" s="336"/>
      <c r="M59" s="335"/>
      <c r="N59" s="276">
        <f t="shared" si="2"/>
        <v>0</v>
      </c>
    </row>
    <row r="60" spans="2:14" x14ac:dyDescent="0.2">
      <c r="B60" s="290"/>
      <c r="C60" s="313"/>
      <c r="D60" s="288">
        <f t="shared" si="3"/>
        <v>0</v>
      </c>
      <c r="E60" s="279"/>
      <c r="F60" s="284" t="s">
        <v>267</v>
      </c>
      <c r="G60" s="279"/>
      <c r="H60" s="279"/>
      <c r="I60" s="279"/>
      <c r="J60" s="276">
        <f>SUM(D81)</f>
        <v>0</v>
      </c>
      <c r="K60" s="289"/>
      <c r="L60" s="336"/>
      <c r="M60" s="335"/>
      <c r="N60" s="276">
        <f t="shared" si="2"/>
        <v>0</v>
      </c>
    </row>
    <row r="61" spans="2:14" ht="13.5" thickBot="1" x14ac:dyDescent="0.25">
      <c r="B61" s="290"/>
      <c r="C61" s="313"/>
      <c r="D61" s="288">
        <f t="shared" si="3"/>
        <v>0</v>
      </c>
      <c r="E61" s="279"/>
      <c r="F61" s="365" t="s">
        <v>260</v>
      </c>
      <c r="G61" s="366"/>
      <c r="H61" s="279"/>
      <c r="I61" s="331" t="s">
        <v>265</v>
      </c>
      <c r="J61" s="337"/>
      <c r="K61" s="368"/>
      <c r="L61" s="333"/>
      <c r="M61" s="332"/>
      <c r="N61" s="276">
        <f t="shared" si="2"/>
        <v>0</v>
      </c>
    </row>
    <row r="62" spans="2:14" ht="13.5" thickBot="1" x14ac:dyDescent="0.25">
      <c r="B62" s="290"/>
      <c r="C62" s="313"/>
      <c r="D62" s="288">
        <f t="shared" si="3"/>
        <v>0</v>
      </c>
      <c r="E62" s="279"/>
      <c r="F62" s="284"/>
      <c r="G62" s="279"/>
      <c r="H62" s="279"/>
      <c r="I62" s="279"/>
      <c r="J62" s="273">
        <f>SUM(J60*J61)</f>
        <v>0</v>
      </c>
      <c r="K62" s="289"/>
      <c r="L62" s="620" t="s">
        <v>264</v>
      </c>
      <c r="M62" s="621"/>
      <c r="N62" s="328">
        <f>SUM(N56:N61)</f>
        <v>0</v>
      </c>
    </row>
    <row r="63" spans="2:14" ht="13.5" thickBot="1" x14ac:dyDescent="0.25">
      <c r="B63" s="290"/>
      <c r="C63" s="313"/>
      <c r="D63" s="288">
        <f t="shared" si="3"/>
        <v>0</v>
      </c>
      <c r="E63" s="279"/>
      <c r="F63" s="284" t="s">
        <v>266</v>
      </c>
      <c r="G63" s="279"/>
      <c r="H63" s="279"/>
      <c r="I63" s="279"/>
      <c r="J63" s="276">
        <f>SUM(D88)</f>
        <v>0</v>
      </c>
      <c r="K63" s="279"/>
      <c r="L63" s="279"/>
      <c r="M63" s="279"/>
      <c r="N63" s="279"/>
    </row>
    <row r="64" spans="2:14" x14ac:dyDescent="0.2">
      <c r="B64" s="290"/>
      <c r="C64" s="327">
        <v>70</v>
      </c>
      <c r="D64" s="288">
        <f t="shared" si="3"/>
        <v>0</v>
      </c>
      <c r="E64" s="279"/>
      <c r="F64" s="658" t="s">
        <v>260</v>
      </c>
      <c r="G64" s="659"/>
      <c r="H64" s="279"/>
      <c r="I64" s="331" t="s">
        <v>265</v>
      </c>
      <c r="J64" s="330">
        <f>SUM(J61)</f>
        <v>0</v>
      </c>
      <c r="K64" s="289"/>
      <c r="L64" s="631" t="s">
        <v>261</v>
      </c>
      <c r="M64" s="632"/>
      <c r="N64" s="633"/>
    </row>
    <row r="65" spans="2:14" x14ac:dyDescent="0.2">
      <c r="B65" s="290"/>
      <c r="C65" s="327">
        <v>80</v>
      </c>
      <c r="D65" s="288">
        <f t="shared" si="3"/>
        <v>0</v>
      </c>
      <c r="E65" s="279"/>
      <c r="F65" s="284"/>
      <c r="G65" s="279"/>
      <c r="H65" s="279"/>
      <c r="I65" s="279"/>
      <c r="J65" s="273">
        <f>SUM(J63*J64)</f>
        <v>0</v>
      </c>
      <c r="K65" s="279"/>
      <c r="L65" s="624" t="s">
        <v>300</v>
      </c>
      <c r="M65" s="625"/>
      <c r="N65" s="626"/>
    </row>
    <row r="66" spans="2:14" x14ac:dyDescent="0.2">
      <c r="B66" s="326"/>
      <c r="C66" s="317">
        <v>82</v>
      </c>
      <c r="D66" s="288">
        <f t="shared" si="3"/>
        <v>0</v>
      </c>
      <c r="E66" s="279"/>
      <c r="F66" s="367" t="s">
        <v>301</v>
      </c>
      <c r="G66" s="346"/>
      <c r="H66" s="642" t="s">
        <v>262</v>
      </c>
      <c r="I66" s="642"/>
      <c r="J66" s="323"/>
      <c r="K66" s="279"/>
      <c r="L66" s="322" t="s">
        <v>23</v>
      </c>
      <c r="M66" s="321" t="s">
        <v>24</v>
      </c>
      <c r="N66" s="320" t="s">
        <v>255</v>
      </c>
    </row>
    <row r="67" spans="2:14" x14ac:dyDescent="0.2">
      <c r="B67" s="290"/>
      <c r="C67" s="317">
        <v>85</v>
      </c>
      <c r="D67" s="288">
        <f t="shared" si="3"/>
        <v>0</v>
      </c>
      <c r="E67" s="279"/>
      <c r="F67" s="365" t="s">
        <v>260</v>
      </c>
      <c r="G67" s="366"/>
      <c r="H67" s="642" t="s">
        <v>259</v>
      </c>
      <c r="I67" s="642"/>
      <c r="J67" s="323"/>
      <c r="K67" s="279"/>
      <c r="L67" s="364"/>
      <c r="M67" s="308"/>
      <c r="N67" s="276">
        <f>SUM(J72*M67)</f>
        <v>0</v>
      </c>
    </row>
    <row r="68" spans="2:14" x14ac:dyDescent="0.2">
      <c r="B68" s="290"/>
      <c r="C68" s="317">
        <v>90</v>
      </c>
      <c r="D68" s="288">
        <f t="shared" si="3"/>
        <v>0</v>
      </c>
      <c r="E68" s="279"/>
      <c r="F68" s="365" t="s">
        <v>257</v>
      </c>
      <c r="G68" s="366"/>
      <c r="H68" s="642" t="s">
        <v>256</v>
      </c>
      <c r="I68" s="642"/>
      <c r="J68" s="323">
        <v>0</v>
      </c>
      <c r="K68" s="279"/>
      <c r="L68" s="627" t="s">
        <v>299</v>
      </c>
      <c r="M68" s="628"/>
      <c r="N68" s="276">
        <f>SUM((J69+J70)*M67)</f>
        <v>0</v>
      </c>
    </row>
    <row r="69" spans="2:14" x14ac:dyDescent="0.2">
      <c r="B69" s="290"/>
      <c r="C69" s="317">
        <v>100</v>
      </c>
      <c r="D69" s="288">
        <f t="shared" si="3"/>
        <v>0</v>
      </c>
      <c r="E69" s="279"/>
      <c r="F69" s="365" t="s">
        <v>254</v>
      </c>
      <c r="G69" s="301"/>
      <c r="H69" s="642" t="s">
        <v>253</v>
      </c>
      <c r="I69" s="642"/>
      <c r="J69" s="273">
        <f>SUM(J66*J58)</f>
        <v>0</v>
      </c>
      <c r="K69" s="279"/>
      <c r="L69" s="618" t="s">
        <v>298</v>
      </c>
      <c r="M69" s="619"/>
      <c r="N69" s="276">
        <f>SUM(N67*L67)</f>
        <v>0</v>
      </c>
    </row>
    <row r="70" spans="2:14" ht="13.5" thickBot="1" x14ac:dyDescent="0.25">
      <c r="B70" s="290"/>
      <c r="C70" s="317">
        <v>105</v>
      </c>
      <c r="D70" s="288">
        <f t="shared" si="3"/>
        <v>0</v>
      </c>
      <c r="E70" s="279"/>
      <c r="F70" s="278"/>
      <c r="H70" s="277"/>
      <c r="I70" s="277" t="s">
        <v>252</v>
      </c>
      <c r="J70" s="273">
        <f>SUM(J67*J61)</f>
        <v>0</v>
      </c>
      <c r="K70" s="315"/>
      <c r="L70" s="629" t="s">
        <v>297</v>
      </c>
      <c r="M70" s="630"/>
      <c r="N70" s="269">
        <f>SUM(N68*L67)</f>
        <v>0</v>
      </c>
    </row>
    <row r="71" spans="2:14" x14ac:dyDescent="0.2">
      <c r="B71" s="290"/>
      <c r="C71" s="317">
        <v>115</v>
      </c>
      <c r="D71" s="288">
        <f t="shared" si="3"/>
        <v>0</v>
      </c>
      <c r="E71" s="279"/>
      <c r="F71" s="278"/>
      <c r="I71" s="277" t="s">
        <v>251</v>
      </c>
      <c r="J71" s="273">
        <f>SUM(J68*J64)</f>
        <v>0</v>
      </c>
      <c r="K71" s="279"/>
    </row>
    <row r="72" spans="2:14" ht="13.5" thickBot="1" x14ac:dyDescent="0.25">
      <c r="B72" s="290"/>
      <c r="C72" s="317">
        <v>118</v>
      </c>
      <c r="D72" s="288">
        <f t="shared" si="3"/>
        <v>0</v>
      </c>
      <c r="E72" s="279"/>
      <c r="F72" s="622" t="s">
        <v>250</v>
      </c>
      <c r="G72" s="623"/>
      <c r="H72" s="623"/>
      <c r="I72" s="623"/>
      <c r="J72" s="316">
        <f>SUM(J69+J70+J71)</f>
        <v>0</v>
      </c>
      <c r="K72" s="279"/>
      <c r="L72" s="634" t="s">
        <v>235</v>
      </c>
      <c r="M72" s="634"/>
      <c r="N72" s="634"/>
    </row>
    <row r="73" spans="2:14" ht="13.5" thickBot="1" x14ac:dyDescent="0.25">
      <c r="B73" s="287" t="s">
        <v>226</v>
      </c>
      <c r="C73" s="286"/>
      <c r="D73" s="285" t="s">
        <v>225</v>
      </c>
      <c r="E73" s="279"/>
      <c r="K73" s="279"/>
      <c r="L73" s="655" t="s">
        <v>233</v>
      </c>
      <c r="M73" s="655"/>
      <c r="N73" s="655"/>
    </row>
    <row r="74" spans="2:14" ht="13.5" thickBot="1" x14ac:dyDescent="0.25">
      <c r="B74" s="283">
        <f>SUM(B59:B72)</f>
        <v>0</v>
      </c>
      <c r="C74" s="282"/>
      <c r="D74" s="281">
        <f>SUM(D59:D72)</f>
        <v>0</v>
      </c>
      <c r="E74" s="279"/>
      <c r="F74" s="631" t="s">
        <v>249</v>
      </c>
      <c r="G74" s="632"/>
      <c r="H74" s="632"/>
      <c r="I74" s="632"/>
      <c r="J74" s="633"/>
      <c r="K74" s="279"/>
      <c r="L74" s="634" t="s">
        <v>230</v>
      </c>
      <c r="M74" s="634"/>
      <c r="N74" s="634"/>
    </row>
    <row r="75" spans="2:14" ht="13.5" thickBot="1" x14ac:dyDescent="0.25">
      <c r="B75" s="314"/>
      <c r="C75" s="314"/>
      <c r="D75" s="314"/>
      <c r="E75" s="279"/>
      <c r="F75" s="284" t="s">
        <v>248</v>
      </c>
      <c r="G75" s="279"/>
      <c r="H75" s="363"/>
      <c r="I75" s="279"/>
      <c r="J75" s="311"/>
      <c r="K75" s="279"/>
      <c r="L75" s="656" t="s">
        <v>229</v>
      </c>
      <c r="M75" s="656"/>
      <c r="N75" s="656"/>
    </row>
    <row r="76" spans="2:14" ht="13.5" thickBot="1" x14ac:dyDescent="0.25">
      <c r="B76" s="636" t="s">
        <v>12</v>
      </c>
      <c r="C76" s="637"/>
      <c r="D76" s="638"/>
      <c r="E76" s="279"/>
      <c r="F76" s="284" t="s">
        <v>246</v>
      </c>
      <c r="G76" s="279"/>
      <c r="H76" s="362"/>
      <c r="I76" s="279"/>
      <c r="J76" s="311"/>
      <c r="K76" s="279"/>
      <c r="L76" s="657" t="s">
        <v>227</v>
      </c>
      <c r="M76" s="657"/>
      <c r="N76" s="657"/>
    </row>
    <row r="77" spans="2:14" ht="13.5" thickBot="1" x14ac:dyDescent="0.25">
      <c r="B77" s="295" t="s">
        <v>232</v>
      </c>
      <c r="C77" s="294" t="s">
        <v>9</v>
      </c>
      <c r="D77" s="293" t="s">
        <v>10</v>
      </c>
      <c r="E77" s="279"/>
      <c r="F77" s="284" t="s">
        <v>245</v>
      </c>
      <c r="G77" s="279"/>
      <c r="H77" s="279"/>
      <c r="I77" s="279"/>
      <c r="J77" s="276">
        <f>SUM(N62)</f>
        <v>0</v>
      </c>
      <c r="K77" s="279"/>
      <c r="L77" s="653"/>
      <c r="M77" s="653"/>
      <c r="N77" s="653"/>
    </row>
    <row r="78" spans="2:14" x14ac:dyDescent="0.2">
      <c r="B78" s="284"/>
      <c r="C78" s="279"/>
      <c r="D78" s="307"/>
      <c r="E78" s="279"/>
      <c r="F78" s="284" t="s">
        <v>244</v>
      </c>
      <c r="G78" s="279"/>
      <c r="H78" s="279"/>
      <c r="I78" s="279"/>
      <c r="J78" s="276">
        <f>SUM(J77*1%)</f>
        <v>0</v>
      </c>
      <c r="K78" s="279"/>
    </row>
    <row r="79" spans="2:14" ht="13.5" thickBot="1" x14ac:dyDescent="0.25">
      <c r="B79" s="290"/>
      <c r="C79" s="289">
        <v>90</v>
      </c>
      <c r="D79" s="288">
        <f>SUM(B79*C79)</f>
        <v>0</v>
      </c>
      <c r="E79" s="279"/>
      <c r="F79" s="652" t="s">
        <v>242</v>
      </c>
      <c r="G79" s="653"/>
      <c r="H79" s="653"/>
      <c r="I79" s="653"/>
      <c r="J79" s="654"/>
      <c r="K79" s="279"/>
    </row>
    <row r="80" spans="2:14" x14ac:dyDescent="0.2">
      <c r="B80" s="287" t="s">
        <v>226</v>
      </c>
      <c r="C80" s="286"/>
      <c r="D80" s="285" t="s">
        <v>225</v>
      </c>
      <c r="E80" s="279"/>
      <c r="F80" s="652" t="s">
        <v>296</v>
      </c>
      <c r="G80" s="653"/>
      <c r="H80" s="653"/>
      <c r="I80" s="653"/>
      <c r="J80" s="654"/>
      <c r="K80" s="279"/>
      <c r="L80" s="338"/>
      <c r="M80" s="338"/>
      <c r="N80" s="338"/>
    </row>
    <row r="81" spans="2:14" ht="13.5" thickBot="1" x14ac:dyDescent="0.25">
      <c r="B81" s="283">
        <f>SUM(B78+B79)</f>
        <v>0</v>
      </c>
      <c r="C81" s="282"/>
      <c r="D81" s="281">
        <f>SUM(D79)</f>
        <v>0</v>
      </c>
      <c r="E81" s="279"/>
      <c r="F81" s="284" t="s">
        <v>295</v>
      </c>
      <c r="G81" s="279"/>
      <c r="H81" s="279"/>
      <c r="I81" s="279"/>
      <c r="J81" s="276">
        <f>SUM(N67-J78)</f>
        <v>0</v>
      </c>
      <c r="K81" s="279"/>
      <c r="L81" s="338"/>
      <c r="M81" s="338"/>
      <c r="N81" s="338"/>
    </row>
    <row r="82" spans="2:14" ht="13.5" thickBot="1" x14ac:dyDescent="0.25">
      <c r="B82" s="301"/>
      <c r="C82" s="301"/>
      <c r="D82" s="301"/>
      <c r="E82" s="279"/>
      <c r="F82" s="300" t="s">
        <v>236</v>
      </c>
      <c r="G82" s="297"/>
      <c r="H82" s="297"/>
      <c r="I82" s="297"/>
      <c r="J82" s="361"/>
      <c r="L82" s="665"/>
      <c r="M82" s="665"/>
      <c r="N82" s="665"/>
    </row>
    <row r="83" spans="2:14" ht="13.5" thickBot="1" x14ac:dyDescent="0.25">
      <c r="B83" s="636" t="s">
        <v>13</v>
      </c>
      <c r="C83" s="637"/>
      <c r="D83" s="638"/>
      <c r="E83" s="279"/>
      <c r="F83" s="298" t="s">
        <v>234</v>
      </c>
      <c r="G83" s="297"/>
      <c r="H83" s="297"/>
      <c r="I83" s="297"/>
      <c r="J83" s="296"/>
      <c r="L83" s="346"/>
      <c r="M83" s="331"/>
      <c r="N83" s="355"/>
    </row>
    <row r="84" spans="2:14" ht="13.5" thickBot="1" x14ac:dyDescent="0.25">
      <c r="B84" s="295" t="s">
        <v>232</v>
      </c>
      <c r="C84" s="294" t="s">
        <v>9</v>
      </c>
      <c r="D84" s="293" t="s">
        <v>10</v>
      </c>
      <c r="E84" s="279"/>
      <c r="F84" s="278"/>
      <c r="J84" s="360"/>
      <c r="L84" s="346"/>
      <c r="M84" s="356"/>
      <c r="N84" s="355"/>
    </row>
    <row r="85" spans="2:14" x14ac:dyDescent="0.2">
      <c r="B85" s="292"/>
      <c r="C85" s="289">
        <v>70</v>
      </c>
      <c r="D85" s="291">
        <f>SUM(B85*C85)</f>
        <v>0</v>
      </c>
      <c r="E85" s="279"/>
      <c r="F85" s="359" t="s">
        <v>294</v>
      </c>
      <c r="G85" s="338"/>
      <c r="H85" s="338"/>
      <c r="I85" s="338"/>
      <c r="J85" s="280">
        <f>SUM(J59+J62+J65)</f>
        <v>0</v>
      </c>
      <c r="L85" s="346"/>
      <c r="M85" s="356"/>
      <c r="N85" s="355"/>
    </row>
    <row r="86" spans="2:14" ht="13.5" thickBot="1" x14ac:dyDescent="0.25">
      <c r="B86" s="292"/>
      <c r="C86" s="289">
        <v>105</v>
      </c>
      <c r="D86" s="288">
        <f>SUM(B86*C86)</f>
        <v>0</v>
      </c>
      <c r="E86" s="279"/>
      <c r="F86" s="359" t="s">
        <v>293</v>
      </c>
      <c r="G86" s="358">
        <f>SUM(L67)</f>
        <v>0</v>
      </c>
      <c r="H86" s="338" t="s">
        <v>292</v>
      </c>
      <c r="I86" s="338"/>
      <c r="J86" s="280">
        <f>SUM(J85+(N67-J78))</f>
        <v>0</v>
      </c>
      <c r="K86" s="279"/>
      <c r="L86" s="346"/>
      <c r="M86" s="356"/>
      <c r="N86" s="355"/>
    </row>
    <row r="87" spans="2:14" ht="13.5" thickBot="1" x14ac:dyDescent="0.25">
      <c r="B87" s="287" t="s">
        <v>226</v>
      </c>
      <c r="C87" s="286"/>
      <c r="D87" s="285" t="s">
        <v>225</v>
      </c>
      <c r="F87" s="660" t="s">
        <v>291</v>
      </c>
      <c r="G87" s="661"/>
      <c r="H87" s="661"/>
      <c r="I87" s="357"/>
      <c r="J87" s="316">
        <f>SUM(N68-J78)+(J59+J62)</f>
        <v>0</v>
      </c>
    </row>
    <row r="88" spans="2:14" ht="13.5" thickBot="1" x14ac:dyDescent="0.25">
      <c r="B88" s="283">
        <f>SUM(B85+B86)</f>
        <v>0</v>
      </c>
      <c r="C88" s="282"/>
      <c r="D88" s="281">
        <f>SUM(D86+D85)</f>
        <v>0</v>
      </c>
      <c r="F88" s="279"/>
      <c r="G88" s="279"/>
      <c r="H88" s="279"/>
      <c r="I88" s="279"/>
      <c r="J88" s="279"/>
    </row>
    <row r="89" spans="2:14" x14ac:dyDescent="0.2">
      <c r="F89" s="268"/>
    </row>
    <row r="90" spans="2:14" x14ac:dyDescent="0.2">
      <c r="E90" s="354"/>
      <c r="F90" s="268"/>
      <c r="K90" s="354"/>
      <c r="L90" s="354"/>
      <c r="M90" s="354"/>
      <c r="N90" s="354"/>
    </row>
    <row r="91" spans="2:14" x14ac:dyDescent="0.2">
      <c r="E91" s="321"/>
      <c r="F91" s="268"/>
      <c r="K91" s="321"/>
      <c r="L91" s="321"/>
      <c r="M91" s="321"/>
      <c r="N91" s="321"/>
    </row>
    <row r="92" spans="2:14" x14ac:dyDescent="0.2">
      <c r="B92" s="354" t="s">
        <v>290</v>
      </c>
      <c r="C92" s="354"/>
      <c r="D92" s="354"/>
      <c r="E92" s="354"/>
      <c r="F92" s="354"/>
      <c r="G92" s="354"/>
      <c r="H92" s="354"/>
      <c r="I92" s="354"/>
      <c r="J92" s="354"/>
      <c r="K92" s="354"/>
      <c r="L92" s="279"/>
      <c r="M92" s="279"/>
      <c r="N92" s="279"/>
    </row>
    <row r="93" spans="2:14" x14ac:dyDescent="0.2">
      <c r="B93" s="321" t="s">
        <v>289</v>
      </c>
      <c r="C93" s="321"/>
      <c r="D93" s="321"/>
      <c r="E93" s="353"/>
      <c r="F93" s="321"/>
      <c r="G93" s="321"/>
      <c r="H93" s="321"/>
      <c r="I93" s="321"/>
      <c r="J93" s="321"/>
      <c r="K93" s="349"/>
      <c r="L93" s="313" t="s">
        <v>285</v>
      </c>
      <c r="M93" s="279"/>
      <c r="N93" s="279"/>
    </row>
    <row r="94" spans="2:14" x14ac:dyDescent="0.2">
      <c r="B94" s="354"/>
      <c r="C94" s="354"/>
      <c r="D94" s="354"/>
      <c r="E94" s="310"/>
      <c r="F94" s="354"/>
      <c r="G94" s="354"/>
      <c r="H94" s="354"/>
      <c r="I94" s="354"/>
      <c r="J94" s="354"/>
      <c r="K94" s="279"/>
      <c r="L94" s="279"/>
      <c r="M94" s="279"/>
      <c r="N94" s="279"/>
    </row>
    <row r="95" spans="2:14" x14ac:dyDescent="0.2">
      <c r="B95" s="349" t="s">
        <v>288</v>
      </c>
      <c r="C95" s="313" t="s">
        <v>287</v>
      </c>
      <c r="D95" s="313"/>
      <c r="E95" s="279"/>
      <c r="F95" s="313"/>
      <c r="G95" s="279"/>
      <c r="H95" s="279"/>
      <c r="I95" s="279"/>
      <c r="J95" s="349" t="s">
        <v>286</v>
      </c>
      <c r="K95" s="343"/>
      <c r="L95" s="279"/>
      <c r="M95" s="343" t="s">
        <v>281</v>
      </c>
      <c r="N95" s="279"/>
    </row>
    <row r="96" spans="2:14" x14ac:dyDescent="0.2">
      <c r="B96" s="279" t="s">
        <v>284</v>
      </c>
      <c r="C96" s="279"/>
      <c r="D96" s="352"/>
      <c r="E96" s="279"/>
      <c r="F96" s="279"/>
      <c r="G96" s="279"/>
      <c r="H96" s="279"/>
      <c r="I96" s="279"/>
      <c r="J96" s="279"/>
      <c r="K96" s="350"/>
      <c r="L96" s="343" t="s">
        <v>278</v>
      </c>
      <c r="M96" s="350" t="s">
        <v>277</v>
      </c>
      <c r="N96" s="279"/>
    </row>
    <row r="97" spans="2:14" x14ac:dyDescent="0.2">
      <c r="B97" s="279"/>
      <c r="C97" s="279"/>
      <c r="D97" s="350" t="s">
        <v>283</v>
      </c>
      <c r="E97" s="279"/>
      <c r="F97" s="279"/>
      <c r="G97" s="350" t="s">
        <v>282</v>
      </c>
      <c r="H97" s="279"/>
      <c r="I97" s="279"/>
      <c r="J97" s="343" t="s">
        <v>281</v>
      </c>
      <c r="K97" s="279"/>
      <c r="L97" s="279"/>
      <c r="M97" s="348"/>
      <c r="N97" s="279"/>
    </row>
    <row r="98" spans="2:14" ht="13.5" thickBot="1" x14ac:dyDescent="0.25">
      <c r="B98" s="279"/>
      <c r="C98" s="349" t="s">
        <v>280</v>
      </c>
      <c r="D98" s="351">
        <v>24038</v>
      </c>
      <c r="E98" s="346"/>
      <c r="F98" s="349" t="s">
        <v>280</v>
      </c>
      <c r="G98" s="351">
        <v>24857</v>
      </c>
      <c r="H98" s="279"/>
      <c r="I98" s="279"/>
      <c r="J98" s="350" t="s">
        <v>279</v>
      </c>
      <c r="K98" s="279"/>
      <c r="L98" s="279"/>
      <c r="M98" s="279"/>
      <c r="N98" s="279"/>
    </row>
    <row r="99" spans="2:14" x14ac:dyDescent="0.2">
      <c r="B99" s="279"/>
      <c r="C99" s="349" t="s">
        <v>275</v>
      </c>
      <c r="D99" s="348" t="s">
        <v>276</v>
      </c>
      <c r="E99" s="344"/>
      <c r="F99" s="349" t="s">
        <v>275</v>
      </c>
      <c r="G99" s="348" t="s">
        <v>274</v>
      </c>
      <c r="H99" s="279"/>
      <c r="I99" s="279"/>
      <c r="J99" s="348">
        <v>2.4</v>
      </c>
      <c r="K99" s="322"/>
      <c r="L99" s="643" t="s">
        <v>272</v>
      </c>
      <c r="M99" s="644"/>
      <c r="N99" s="645"/>
    </row>
    <row r="100" spans="2:14" ht="13.5" thickBot="1" x14ac:dyDescent="0.25">
      <c r="B100" s="346"/>
      <c r="C100" s="347"/>
      <c r="D100" s="279"/>
      <c r="E100" s="343"/>
      <c r="F100" s="279"/>
      <c r="G100" s="279"/>
      <c r="H100" s="346"/>
      <c r="I100" s="345"/>
      <c r="J100" s="279"/>
      <c r="K100" s="284"/>
      <c r="L100" s="342" t="s">
        <v>270</v>
      </c>
      <c r="M100" s="341" t="s">
        <v>269</v>
      </c>
      <c r="N100" s="340" t="s">
        <v>268</v>
      </c>
    </row>
    <row r="101" spans="2:14" ht="13.5" thickBot="1" x14ac:dyDescent="0.25">
      <c r="B101" s="636" t="s">
        <v>8</v>
      </c>
      <c r="C101" s="637"/>
      <c r="D101" s="638"/>
      <c r="E101" s="279"/>
      <c r="F101" s="631" t="s">
        <v>273</v>
      </c>
      <c r="G101" s="632"/>
      <c r="H101" s="632"/>
      <c r="I101" s="632"/>
      <c r="J101" s="633"/>
      <c r="K101" s="329"/>
      <c r="L101" s="336">
        <v>973</v>
      </c>
      <c r="M101" s="313">
        <v>23</v>
      </c>
      <c r="N101" s="276">
        <f t="shared" ref="N101:N106" si="4">SUM(L101*M101)</f>
        <v>22379</v>
      </c>
    </row>
    <row r="102" spans="2:14" ht="13.5" thickBot="1" x14ac:dyDescent="0.25">
      <c r="B102" s="295" t="s">
        <v>232</v>
      </c>
      <c r="C102" s="294" t="s">
        <v>9</v>
      </c>
      <c r="D102" s="293" t="s">
        <v>10</v>
      </c>
      <c r="E102" s="339"/>
      <c r="F102" s="284" t="s">
        <v>271</v>
      </c>
      <c r="G102" s="279"/>
      <c r="H102" s="325"/>
      <c r="I102" s="331"/>
      <c r="J102" s="276">
        <f>SUM(D119)</f>
        <v>0</v>
      </c>
      <c r="K102" s="334"/>
      <c r="L102" s="336"/>
      <c r="M102" s="335"/>
      <c r="N102" s="276">
        <f t="shared" si="4"/>
        <v>0</v>
      </c>
    </row>
    <row r="103" spans="2:14" x14ac:dyDescent="0.2">
      <c r="B103" s="284"/>
      <c r="C103" s="279"/>
      <c r="D103" s="307"/>
      <c r="E103" s="338"/>
      <c r="F103" s="319" t="s">
        <v>260</v>
      </c>
      <c r="G103" s="324"/>
      <c r="H103" s="279"/>
      <c r="I103" s="331" t="s">
        <v>265</v>
      </c>
      <c r="J103" s="337"/>
      <c r="K103" s="329"/>
      <c r="L103" s="336"/>
      <c r="M103" s="335"/>
      <c r="N103" s="276">
        <f t="shared" si="4"/>
        <v>0</v>
      </c>
    </row>
    <row r="104" spans="2:14" x14ac:dyDescent="0.2">
      <c r="B104" s="290"/>
      <c r="C104" s="313"/>
      <c r="D104" s="288">
        <f t="shared" ref="D104:D117" si="5">SUM(B104*C104)</f>
        <v>0</v>
      </c>
      <c r="E104" s="279"/>
      <c r="F104" s="284"/>
      <c r="G104" s="279"/>
      <c r="H104" s="279"/>
      <c r="I104" s="331"/>
      <c r="J104" s="273">
        <f>SUM(J102*J103)</f>
        <v>0</v>
      </c>
      <c r="K104" s="329"/>
      <c r="L104" s="336"/>
      <c r="M104" s="335"/>
      <c r="N104" s="276">
        <f t="shared" si="4"/>
        <v>0</v>
      </c>
    </row>
    <row r="105" spans="2:14" x14ac:dyDescent="0.2">
      <c r="B105" s="290"/>
      <c r="C105" s="313"/>
      <c r="D105" s="288">
        <f t="shared" si="5"/>
        <v>0</v>
      </c>
      <c r="E105" s="279"/>
      <c r="F105" s="284" t="s">
        <v>267</v>
      </c>
      <c r="G105" s="279"/>
      <c r="H105" s="279"/>
      <c r="I105" s="279"/>
      <c r="J105" s="276">
        <f>SUM(D126)</f>
        <v>150.29999999999998</v>
      </c>
      <c r="K105" s="329"/>
      <c r="L105" s="336"/>
      <c r="M105" s="335"/>
      <c r="N105" s="276">
        <f t="shared" si="4"/>
        <v>0</v>
      </c>
    </row>
    <row r="106" spans="2:14" ht="13.5" thickBot="1" x14ac:dyDescent="0.25">
      <c r="B106" s="290"/>
      <c r="C106" s="313"/>
      <c r="D106" s="288">
        <f t="shared" si="5"/>
        <v>0</v>
      </c>
      <c r="E106" s="279"/>
      <c r="F106" s="319" t="s">
        <v>260</v>
      </c>
      <c r="G106" s="324"/>
      <c r="H106" s="279"/>
      <c r="I106" s="331" t="s">
        <v>265</v>
      </c>
      <c r="J106" s="337">
        <v>0.64500000000000002</v>
      </c>
      <c r="K106" s="334"/>
      <c r="L106" s="333"/>
      <c r="M106" s="332"/>
      <c r="N106" s="276">
        <f t="shared" si="4"/>
        <v>0</v>
      </c>
    </row>
    <row r="107" spans="2:14" ht="13.5" thickBot="1" x14ac:dyDescent="0.25">
      <c r="B107" s="290"/>
      <c r="C107" s="313"/>
      <c r="D107" s="288">
        <f t="shared" si="5"/>
        <v>0</v>
      </c>
      <c r="E107" s="279"/>
      <c r="F107" s="284"/>
      <c r="G107" s="279"/>
      <c r="H107" s="279"/>
      <c r="I107" s="279"/>
      <c r="J107" s="273">
        <f>SUM(J105*J106)</f>
        <v>96.943499999999986</v>
      </c>
      <c r="K107" s="329"/>
      <c r="L107" s="620" t="s">
        <v>264</v>
      </c>
      <c r="M107" s="621"/>
      <c r="N107" s="328">
        <f>SUM(N101:N106)</f>
        <v>22379</v>
      </c>
    </row>
    <row r="108" spans="2:14" ht="13.5" thickBot="1" x14ac:dyDescent="0.25">
      <c r="B108" s="290"/>
      <c r="C108" s="313"/>
      <c r="D108" s="288">
        <f t="shared" si="5"/>
        <v>0</v>
      </c>
      <c r="E108" s="279"/>
      <c r="F108" s="284" t="s">
        <v>266</v>
      </c>
      <c r="G108" s="279"/>
      <c r="H108" s="279"/>
      <c r="I108" s="279"/>
      <c r="J108" s="276">
        <f>SUM(D133)</f>
        <v>831.6</v>
      </c>
      <c r="K108" s="284"/>
      <c r="L108" s="279"/>
      <c r="M108" s="279"/>
      <c r="N108" s="279"/>
    </row>
    <row r="109" spans="2:14" x14ac:dyDescent="0.2">
      <c r="B109" s="290"/>
      <c r="C109" s="327">
        <v>70</v>
      </c>
      <c r="D109" s="288">
        <f t="shared" si="5"/>
        <v>0</v>
      </c>
      <c r="E109" s="279"/>
      <c r="F109" s="646" t="s">
        <v>260</v>
      </c>
      <c r="G109" s="647"/>
      <c r="H109" s="279"/>
      <c r="I109" s="331" t="s">
        <v>265</v>
      </c>
      <c r="J109" s="330">
        <f>SUM(J106)</f>
        <v>0.64500000000000002</v>
      </c>
      <c r="K109" s="289"/>
      <c r="L109" s="631" t="s">
        <v>261</v>
      </c>
      <c r="M109" s="632"/>
      <c r="N109" s="633"/>
    </row>
    <row r="110" spans="2:14" x14ac:dyDescent="0.2">
      <c r="B110" s="290"/>
      <c r="C110" s="327">
        <v>80</v>
      </c>
      <c r="D110" s="288">
        <f t="shared" si="5"/>
        <v>0</v>
      </c>
      <c r="E110" s="279"/>
      <c r="F110" s="284"/>
      <c r="G110" s="279"/>
      <c r="H110" s="279"/>
      <c r="I110" s="279"/>
      <c r="J110" s="273">
        <f>SUM(J108*J109)</f>
        <v>536.38200000000006</v>
      </c>
      <c r="K110" s="279"/>
      <c r="L110" s="624" t="s">
        <v>258</v>
      </c>
      <c r="M110" s="625"/>
      <c r="N110" s="626"/>
    </row>
    <row r="111" spans="2:14" x14ac:dyDescent="0.2">
      <c r="B111" s="326"/>
      <c r="C111" s="317">
        <v>82</v>
      </c>
      <c r="D111" s="288">
        <f t="shared" si="5"/>
        <v>0</v>
      </c>
      <c r="E111" s="279"/>
      <c r="F111" s="284" t="s">
        <v>263</v>
      </c>
      <c r="G111" s="279"/>
      <c r="H111" s="642" t="s">
        <v>262</v>
      </c>
      <c r="I111" s="642"/>
      <c r="J111" s="323">
        <v>2431.52</v>
      </c>
      <c r="K111" s="279"/>
      <c r="L111" s="322" t="s">
        <v>23</v>
      </c>
      <c r="M111" s="321" t="s">
        <v>24</v>
      </c>
      <c r="N111" s="320" t="s">
        <v>255</v>
      </c>
    </row>
    <row r="112" spans="2:14" x14ac:dyDescent="0.2">
      <c r="B112" s="290"/>
      <c r="C112" s="317">
        <v>85</v>
      </c>
      <c r="D112" s="288">
        <f t="shared" si="5"/>
        <v>0</v>
      </c>
      <c r="E112" s="279"/>
      <c r="F112" s="319" t="s">
        <v>260</v>
      </c>
      <c r="G112" s="324"/>
      <c r="H112" s="642" t="s">
        <v>259</v>
      </c>
      <c r="I112" s="642"/>
      <c r="J112" s="323">
        <v>150.30000000000001</v>
      </c>
      <c r="K112" s="279"/>
      <c r="L112" s="309">
        <v>0.5</v>
      </c>
      <c r="M112" s="308">
        <v>0.91200000000000003</v>
      </c>
      <c r="N112" s="276">
        <f>SUM(J129*M112)</f>
        <v>577.5928560000001</v>
      </c>
    </row>
    <row r="113" spans="2:14" x14ac:dyDescent="0.2">
      <c r="B113" s="290"/>
      <c r="C113" s="317">
        <v>90</v>
      </c>
      <c r="D113" s="288">
        <f t="shared" si="5"/>
        <v>0</v>
      </c>
      <c r="E113" s="279"/>
      <c r="F113" s="319" t="s">
        <v>257</v>
      </c>
      <c r="G113" s="324"/>
      <c r="H113" s="642" t="s">
        <v>256</v>
      </c>
      <c r="I113" s="642"/>
      <c r="J113" s="323">
        <v>831.6</v>
      </c>
      <c r="K113" s="279"/>
      <c r="L113" s="306" t="s">
        <v>243</v>
      </c>
      <c r="M113" s="279"/>
      <c r="N113" s="276">
        <f>SUM((J104+J107)*M112)</f>
        <v>88.412471999999994</v>
      </c>
    </row>
    <row r="114" spans="2:14" x14ac:dyDescent="0.2">
      <c r="B114" s="290"/>
      <c r="C114" s="317">
        <v>100</v>
      </c>
      <c r="D114" s="288">
        <f t="shared" si="5"/>
        <v>0</v>
      </c>
      <c r="E114" s="279"/>
      <c r="F114" s="319" t="s">
        <v>254</v>
      </c>
      <c r="G114" s="318"/>
      <c r="H114" s="642" t="s">
        <v>253</v>
      </c>
      <c r="I114" s="642"/>
      <c r="J114" s="273">
        <f>SUM(J111*J103)</f>
        <v>0</v>
      </c>
      <c r="K114" s="279"/>
      <c r="L114" s="306" t="s">
        <v>241</v>
      </c>
      <c r="M114" s="305" t="s">
        <v>238</v>
      </c>
      <c r="N114" s="304">
        <f>SUM(N112*50%)</f>
        <v>288.79642800000005</v>
      </c>
    </row>
    <row r="115" spans="2:14" x14ac:dyDescent="0.2">
      <c r="B115" s="290"/>
      <c r="C115" s="317">
        <v>105</v>
      </c>
      <c r="D115" s="288">
        <f t="shared" si="5"/>
        <v>0</v>
      </c>
      <c r="E115" s="279"/>
      <c r="F115" s="278"/>
      <c r="H115" s="277"/>
      <c r="I115" s="277" t="s">
        <v>252</v>
      </c>
      <c r="J115" s="273">
        <f>SUM(J112*J106)</f>
        <v>96.943500000000014</v>
      </c>
      <c r="K115" s="315"/>
      <c r="L115" s="306" t="s">
        <v>239</v>
      </c>
      <c r="M115" s="310" t="s">
        <v>238</v>
      </c>
      <c r="N115" s="276">
        <f>SUM(N113*0.5)</f>
        <v>44.206235999999997</v>
      </c>
    </row>
    <row r="116" spans="2:14" x14ac:dyDescent="0.2">
      <c r="B116" s="290"/>
      <c r="C116" s="317">
        <v>115</v>
      </c>
      <c r="D116" s="288">
        <f t="shared" si="5"/>
        <v>0</v>
      </c>
      <c r="E116" s="279"/>
      <c r="F116" s="278"/>
      <c r="I116" s="277" t="s">
        <v>251</v>
      </c>
      <c r="J116" s="273">
        <f>SUM(J113*J109)</f>
        <v>536.38200000000006</v>
      </c>
      <c r="K116" s="279"/>
      <c r="L116" s="309">
        <v>0.75</v>
      </c>
      <c r="M116" s="308">
        <v>0.872</v>
      </c>
      <c r="N116" s="276">
        <f>SUM(J129*M116)</f>
        <v>552.25983600000006</v>
      </c>
    </row>
    <row r="117" spans="2:14" ht="13.5" thickBot="1" x14ac:dyDescent="0.25">
      <c r="B117" s="290"/>
      <c r="C117" s="317">
        <v>118</v>
      </c>
      <c r="D117" s="288">
        <f t="shared" si="5"/>
        <v>0</v>
      </c>
      <c r="E117" s="279"/>
      <c r="F117" s="622" t="s">
        <v>250</v>
      </c>
      <c r="G117" s="623"/>
      <c r="H117" s="623"/>
      <c r="I117" s="623"/>
      <c r="J117" s="316">
        <f>SUM(J114+J115+J116)</f>
        <v>633.32550000000003</v>
      </c>
      <c r="K117" s="279"/>
      <c r="L117" s="306" t="s">
        <v>243</v>
      </c>
      <c r="M117" s="279"/>
      <c r="N117" s="276">
        <f>SUM((J104+J107)*M116)</f>
        <v>84.534731999999991</v>
      </c>
    </row>
    <row r="118" spans="2:14" ht="13.5" thickBot="1" x14ac:dyDescent="0.25">
      <c r="B118" s="287" t="s">
        <v>226</v>
      </c>
      <c r="C118" s="286"/>
      <c r="D118" s="285" t="s">
        <v>225</v>
      </c>
      <c r="E118" s="279"/>
      <c r="K118" s="279"/>
      <c r="L118" s="306" t="s">
        <v>241</v>
      </c>
      <c r="M118" s="305" t="s">
        <v>238</v>
      </c>
      <c r="N118" s="304">
        <f>SUM(N116*75%)</f>
        <v>414.19487700000002</v>
      </c>
    </row>
    <row r="119" spans="2:14" ht="13.5" thickBot="1" x14ac:dyDescent="0.25">
      <c r="B119" s="283">
        <f>SUM(B104:B117)</f>
        <v>0</v>
      </c>
      <c r="C119" s="282"/>
      <c r="D119" s="281">
        <f>SUM(D104:D117)</f>
        <v>0</v>
      </c>
      <c r="E119" s="279"/>
      <c r="F119" s="631" t="s">
        <v>249</v>
      </c>
      <c r="G119" s="632"/>
      <c r="H119" s="632"/>
      <c r="I119" s="632"/>
      <c r="J119" s="633"/>
      <c r="K119" s="279"/>
      <c r="L119" s="306" t="s">
        <v>239</v>
      </c>
      <c r="M119" s="310" t="s">
        <v>238</v>
      </c>
      <c r="N119" s="276">
        <f>SUM(N117*0.75)</f>
        <v>63.401048999999993</v>
      </c>
    </row>
    <row r="120" spans="2:14" ht="13.5" thickBot="1" x14ac:dyDescent="0.25">
      <c r="B120" s="314"/>
      <c r="C120" s="314"/>
      <c r="D120" s="314"/>
      <c r="E120" s="279"/>
      <c r="F120" s="284" t="s">
        <v>248</v>
      </c>
      <c r="G120" s="279"/>
      <c r="H120" s="313" t="s">
        <v>247</v>
      </c>
      <c r="I120" s="279"/>
      <c r="J120" s="311"/>
      <c r="K120" s="279"/>
      <c r="L120" s="309">
        <v>1</v>
      </c>
      <c r="M120" s="308">
        <v>0.84</v>
      </c>
      <c r="N120" s="276">
        <f>SUM(J129*M120)</f>
        <v>531.99342000000001</v>
      </c>
    </row>
    <row r="121" spans="2:14" ht="13.5" thickBot="1" x14ac:dyDescent="0.25">
      <c r="B121" s="636" t="s">
        <v>12</v>
      </c>
      <c r="C121" s="637"/>
      <c r="D121" s="638"/>
      <c r="E121" s="279"/>
      <c r="F121" s="284" t="s">
        <v>246</v>
      </c>
      <c r="G121" s="279"/>
      <c r="H121" s="312">
        <v>40483</v>
      </c>
      <c r="I121" s="279"/>
      <c r="J121" s="311"/>
      <c r="K121" s="279"/>
      <c r="L121" s="306" t="s">
        <v>243</v>
      </c>
      <c r="M121" s="279"/>
      <c r="N121" s="276">
        <f>SUM((J104+J107)*M120)</f>
        <v>81.432539999999989</v>
      </c>
    </row>
    <row r="122" spans="2:14" ht="13.5" thickBot="1" x14ac:dyDescent="0.25">
      <c r="B122" s="295" t="s">
        <v>232</v>
      </c>
      <c r="C122" s="294" t="s">
        <v>9</v>
      </c>
      <c r="D122" s="293" t="s">
        <v>10</v>
      </c>
      <c r="E122" s="279"/>
      <c r="F122" s="284" t="s">
        <v>245</v>
      </c>
      <c r="G122" s="279"/>
      <c r="H122" s="279"/>
      <c r="I122" s="279"/>
      <c r="J122" s="276">
        <f>SUM(N107)</f>
        <v>22379</v>
      </c>
      <c r="K122" s="279"/>
      <c r="L122" s="306" t="s">
        <v>241</v>
      </c>
      <c r="M122" s="305" t="s">
        <v>238</v>
      </c>
      <c r="N122" s="304">
        <f>SUM(N120)</f>
        <v>531.99342000000001</v>
      </c>
    </row>
    <row r="123" spans="2:14" ht="13.5" thickBot="1" x14ac:dyDescent="0.25">
      <c r="B123" s="284"/>
      <c r="C123" s="279"/>
      <c r="D123" s="307"/>
      <c r="E123" s="279"/>
      <c r="F123" s="284" t="s">
        <v>244</v>
      </c>
      <c r="G123" s="279"/>
      <c r="H123" s="279"/>
      <c r="I123" s="279"/>
      <c r="J123" s="276">
        <f>SUM(J122*1%)</f>
        <v>223.79</v>
      </c>
      <c r="K123" s="279"/>
      <c r="L123" s="303" t="s">
        <v>239</v>
      </c>
      <c r="M123" s="302" t="s">
        <v>238</v>
      </c>
      <c r="N123" s="269">
        <f>SUM(N121)</f>
        <v>81.432539999999989</v>
      </c>
    </row>
    <row r="124" spans="2:14" ht="13.5" thickBot="1" x14ac:dyDescent="0.25">
      <c r="B124" s="290">
        <v>1.67</v>
      </c>
      <c r="C124" s="289">
        <v>90</v>
      </c>
      <c r="D124" s="288">
        <f>SUM(B124*C124)</f>
        <v>150.29999999999998</v>
      </c>
      <c r="E124" s="279"/>
      <c r="F124" s="652" t="s">
        <v>242</v>
      </c>
      <c r="G124" s="653"/>
      <c r="H124" s="653"/>
      <c r="I124" s="653"/>
      <c r="J124" s="654"/>
      <c r="K124" s="279"/>
    </row>
    <row r="125" spans="2:14" x14ac:dyDescent="0.2">
      <c r="B125" s="287" t="s">
        <v>226</v>
      </c>
      <c r="C125" s="286"/>
      <c r="D125" s="285" t="s">
        <v>225</v>
      </c>
      <c r="E125" s="279"/>
      <c r="F125" s="652" t="s">
        <v>240</v>
      </c>
      <c r="G125" s="653"/>
      <c r="H125" s="653"/>
      <c r="I125" s="653"/>
      <c r="J125" s="654"/>
      <c r="K125" s="279"/>
      <c r="L125" s="634" t="s">
        <v>235</v>
      </c>
      <c r="M125" s="634"/>
      <c r="N125" s="634"/>
    </row>
    <row r="126" spans="2:14" ht="13.5" thickBot="1" x14ac:dyDescent="0.25">
      <c r="B126" s="283">
        <f>SUM(B123+B124)</f>
        <v>1.67</v>
      </c>
      <c r="C126" s="282"/>
      <c r="D126" s="281">
        <f>SUM(D124)</f>
        <v>150.29999999999998</v>
      </c>
      <c r="E126" s="279"/>
      <c r="F126" s="284" t="s">
        <v>237</v>
      </c>
      <c r="G126" s="279"/>
      <c r="H126" s="279"/>
      <c r="I126" s="279"/>
      <c r="J126" s="276">
        <f>SUM(J117-J123)</f>
        <v>409.53550000000007</v>
      </c>
      <c r="K126" s="279"/>
      <c r="L126" s="655" t="s">
        <v>233</v>
      </c>
      <c r="M126" s="655"/>
      <c r="N126" s="655"/>
    </row>
    <row r="127" spans="2:14" ht="13.5" thickBot="1" x14ac:dyDescent="0.25">
      <c r="B127" s="301"/>
      <c r="C127" s="301"/>
      <c r="D127" s="301"/>
      <c r="E127" s="279"/>
      <c r="F127" s="300" t="s">
        <v>236</v>
      </c>
      <c r="G127" s="297"/>
      <c r="H127" s="297"/>
      <c r="I127" s="297"/>
      <c r="J127" s="299"/>
      <c r="L127" s="634" t="s">
        <v>230</v>
      </c>
      <c r="M127" s="634"/>
      <c r="N127" s="634"/>
    </row>
    <row r="128" spans="2:14" ht="13.5" thickBot="1" x14ac:dyDescent="0.25">
      <c r="B128" s="636" t="s">
        <v>13</v>
      </c>
      <c r="C128" s="637"/>
      <c r="D128" s="638"/>
      <c r="E128" s="279"/>
      <c r="F128" s="298" t="s">
        <v>234</v>
      </c>
      <c r="G128" s="297"/>
      <c r="H128" s="297"/>
      <c r="I128" s="297"/>
      <c r="J128" s="296">
        <v>973</v>
      </c>
      <c r="L128" s="656" t="s">
        <v>229</v>
      </c>
      <c r="M128" s="656"/>
      <c r="N128" s="656"/>
    </row>
    <row r="129" spans="2:14" ht="13.5" thickBot="1" x14ac:dyDescent="0.25">
      <c r="B129" s="295" t="s">
        <v>232</v>
      </c>
      <c r="C129" s="294" t="s">
        <v>9</v>
      </c>
      <c r="D129" s="293" t="s">
        <v>10</v>
      </c>
      <c r="E129" s="279"/>
      <c r="F129" s="663" t="s">
        <v>231</v>
      </c>
      <c r="G129" s="664"/>
      <c r="H129" s="664"/>
      <c r="I129" s="664"/>
      <c r="J129" s="280">
        <f>SUM(J104+J107+J110)</f>
        <v>633.32550000000003</v>
      </c>
      <c r="L129" s="657" t="s">
        <v>227</v>
      </c>
      <c r="M129" s="657"/>
      <c r="N129" s="657"/>
    </row>
    <row r="130" spans="2:14" x14ac:dyDescent="0.2">
      <c r="B130" s="292"/>
      <c r="C130" s="289">
        <v>70</v>
      </c>
      <c r="D130" s="291">
        <f>SUM(B130*C130)</f>
        <v>0</v>
      </c>
      <c r="E130" s="279"/>
      <c r="F130" s="278"/>
      <c r="H130" s="642" t="s">
        <v>222</v>
      </c>
      <c r="I130" s="642"/>
      <c r="J130" s="276">
        <f>SUM(J104+J107)</f>
        <v>96.943499999999986</v>
      </c>
      <c r="L130" s="653"/>
      <c r="M130" s="653"/>
      <c r="N130" s="653"/>
    </row>
    <row r="131" spans="2:14" ht="13.5" thickBot="1" x14ac:dyDescent="0.25">
      <c r="B131" s="290">
        <v>7.92</v>
      </c>
      <c r="C131" s="289">
        <v>105</v>
      </c>
      <c r="D131" s="288">
        <f>SUM(B131*C131)</f>
        <v>831.6</v>
      </c>
      <c r="E131" s="279"/>
      <c r="F131" s="663" t="s">
        <v>228</v>
      </c>
      <c r="G131" s="664"/>
      <c r="H131" s="664"/>
      <c r="I131" s="664"/>
      <c r="J131" s="280">
        <f>SUM(J126+N112)</f>
        <v>987.12835600000017</v>
      </c>
      <c r="K131" s="279"/>
    </row>
    <row r="132" spans="2:14" x14ac:dyDescent="0.2">
      <c r="B132" s="287" t="s">
        <v>226</v>
      </c>
      <c r="C132" s="286"/>
      <c r="D132" s="285" t="s">
        <v>225</v>
      </c>
      <c r="F132" s="284"/>
      <c r="G132" s="279"/>
      <c r="H132" s="642" t="s">
        <v>222</v>
      </c>
      <c r="I132" s="642"/>
      <c r="J132" s="276">
        <f>SUM(((J114+J115)-J123)+N113)</f>
        <v>-38.434027999999984</v>
      </c>
    </row>
    <row r="133" spans="2:14" ht="13.5" thickBot="1" x14ac:dyDescent="0.25">
      <c r="B133" s="283">
        <f>SUM(B130+B131)</f>
        <v>7.92</v>
      </c>
      <c r="C133" s="282"/>
      <c r="D133" s="281">
        <f>SUM(D131+D130)</f>
        <v>831.6</v>
      </c>
      <c r="F133" s="663" t="s">
        <v>224</v>
      </c>
      <c r="G133" s="664"/>
      <c r="H133" s="664"/>
      <c r="I133" s="664"/>
      <c r="J133" s="280">
        <f>SUM(J126+N116)</f>
        <v>961.79533600000013</v>
      </c>
    </row>
    <row r="134" spans="2:14" x14ac:dyDescent="0.2">
      <c r="F134" s="278"/>
      <c r="H134" s="642" t="s">
        <v>222</v>
      </c>
      <c r="I134" s="642"/>
      <c r="J134" s="276">
        <f>SUM(((J114+J115)-J123)+N117)</f>
        <v>-42.311767999999987</v>
      </c>
    </row>
    <row r="135" spans="2:14" x14ac:dyDescent="0.2">
      <c r="F135" s="663" t="s">
        <v>223</v>
      </c>
      <c r="G135" s="664"/>
      <c r="H135" s="664"/>
      <c r="I135" s="664"/>
      <c r="J135" s="273">
        <f>SUM(J126+N120)</f>
        <v>941.52892000000008</v>
      </c>
    </row>
    <row r="136" spans="2:14" ht="13.5" thickBot="1" x14ac:dyDescent="0.25">
      <c r="F136" s="272"/>
      <c r="G136" s="271"/>
      <c r="H136" s="662" t="s">
        <v>222</v>
      </c>
      <c r="I136" s="662"/>
      <c r="J136" s="269">
        <f>SUM(((J114+J115)-J123)+N121)</f>
        <v>-45.413959999999989</v>
      </c>
    </row>
    <row r="137" spans="2:14" x14ac:dyDescent="0.2">
      <c r="F137" s="268"/>
    </row>
    <row r="138" spans="2:14" x14ac:dyDescent="0.2">
      <c r="F138" s="268"/>
    </row>
    <row r="139" spans="2:14" x14ac:dyDescent="0.2">
      <c r="F139" s="268"/>
    </row>
    <row r="140" spans="2:14" x14ac:dyDescent="0.2">
      <c r="F140" s="268"/>
    </row>
    <row r="141" spans="2:14" x14ac:dyDescent="0.2">
      <c r="F141" s="268"/>
    </row>
    <row r="142" spans="2:14" x14ac:dyDescent="0.2">
      <c r="F142" s="268"/>
    </row>
    <row r="143" spans="2:14" x14ac:dyDescent="0.2">
      <c r="F143" s="268"/>
    </row>
    <row r="144" spans="2:14" x14ac:dyDescent="0.2">
      <c r="F144" s="268"/>
    </row>
    <row r="145" spans="6:6" x14ac:dyDescent="0.2">
      <c r="F145" s="268"/>
    </row>
    <row r="146" spans="6:6" x14ac:dyDescent="0.2">
      <c r="F146" s="268"/>
    </row>
    <row r="147" spans="6:6" x14ac:dyDescent="0.2">
      <c r="F147" s="268"/>
    </row>
    <row r="148" spans="6:6" x14ac:dyDescent="0.2">
      <c r="F148" s="268"/>
    </row>
    <row r="149" spans="6:6" x14ac:dyDescent="0.2">
      <c r="F149" s="268"/>
    </row>
    <row r="150" spans="6:6" x14ac:dyDescent="0.2">
      <c r="F150" s="268"/>
    </row>
    <row r="151" spans="6:6" x14ac:dyDescent="0.2">
      <c r="F151" s="268"/>
    </row>
    <row r="152" spans="6:6" x14ac:dyDescent="0.2">
      <c r="F152" s="268"/>
    </row>
    <row r="153" spans="6:6" x14ac:dyDescent="0.2">
      <c r="F153" s="268"/>
    </row>
    <row r="154" spans="6:6" x14ac:dyDescent="0.2">
      <c r="F154" s="268"/>
    </row>
    <row r="155" spans="6:6" x14ac:dyDescent="0.2">
      <c r="F155" s="268"/>
    </row>
    <row r="156" spans="6:6" x14ac:dyDescent="0.2">
      <c r="F156" s="268"/>
    </row>
    <row r="157" spans="6:6" x14ac:dyDescent="0.2">
      <c r="F157" s="268"/>
    </row>
    <row r="158" spans="6:6" x14ac:dyDescent="0.2">
      <c r="F158" s="268"/>
    </row>
    <row r="159" spans="6:6" x14ac:dyDescent="0.2">
      <c r="F159" s="268"/>
    </row>
    <row r="160" spans="6:6" x14ac:dyDescent="0.2">
      <c r="F160" s="268"/>
    </row>
    <row r="161" spans="6:6" x14ac:dyDescent="0.2">
      <c r="F161" s="268"/>
    </row>
    <row r="162" spans="6:6" x14ac:dyDescent="0.2">
      <c r="F162" s="268"/>
    </row>
    <row r="163" spans="6:6" x14ac:dyDescent="0.2">
      <c r="F163" s="268"/>
    </row>
    <row r="164" spans="6:6" x14ac:dyDescent="0.2">
      <c r="F164" s="268"/>
    </row>
    <row r="165" spans="6:6" x14ac:dyDescent="0.2">
      <c r="F165" s="268"/>
    </row>
    <row r="166" spans="6:6" x14ac:dyDescent="0.2">
      <c r="F166" s="268"/>
    </row>
    <row r="167" spans="6:6" x14ac:dyDescent="0.2">
      <c r="F167" s="268"/>
    </row>
    <row r="168" spans="6:6" x14ac:dyDescent="0.2">
      <c r="F168" s="268"/>
    </row>
    <row r="169" spans="6:6" x14ac:dyDescent="0.2">
      <c r="F169" s="268"/>
    </row>
    <row r="170" spans="6:6" x14ac:dyDescent="0.2">
      <c r="F170" s="268"/>
    </row>
    <row r="171" spans="6:6" x14ac:dyDescent="0.2">
      <c r="F171" s="268"/>
    </row>
    <row r="172" spans="6:6" x14ac:dyDescent="0.2">
      <c r="F172" s="268"/>
    </row>
    <row r="173" spans="6:6" x14ac:dyDescent="0.2">
      <c r="F173" s="268"/>
    </row>
    <row r="174" spans="6:6" x14ac:dyDescent="0.2">
      <c r="F174" s="268"/>
    </row>
    <row r="175" spans="6:6" x14ac:dyDescent="0.2">
      <c r="F175" s="268"/>
    </row>
    <row r="176" spans="6:6" x14ac:dyDescent="0.2">
      <c r="F176" s="268"/>
    </row>
    <row r="177" spans="6:6" x14ac:dyDescent="0.2">
      <c r="F177" s="268"/>
    </row>
    <row r="178" spans="6:6" x14ac:dyDescent="0.2">
      <c r="F178" s="268"/>
    </row>
    <row r="179" spans="6:6" x14ac:dyDescent="0.2">
      <c r="F179" s="268"/>
    </row>
    <row r="180" spans="6:6" x14ac:dyDescent="0.2">
      <c r="F180" s="268"/>
    </row>
    <row r="181" spans="6:6" x14ac:dyDescent="0.2">
      <c r="F181" s="268"/>
    </row>
    <row r="182" spans="6:6" x14ac:dyDescent="0.2">
      <c r="F182" s="268"/>
    </row>
    <row r="183" spans="6:6" x14ac:dyDescent="0.2">
      <c r="F183" s="268"/>
    </row>
    <row r="184" spans="6:6" x14ac:dyDescent="0.2">
      <c r="F184" s="268"/>
    </row>
    <row r="185" spans="6:6" x14ac:dyDescent="0.2">
      <c r="F185" s="268"/>
    </row>
    <row r="186" spans="6:6" x14ac:dyDescent="0.2">
      <c r="F186" s="268"/>
    </row>
    <row r="187" spans="6:6" x14ac:dyDescent="0.2">
      <c r="F187" s="268"/>
    </row>
    <row r="188" spans="6:6" x14ac:dyDescent="0.2">
      <c r="F188" s="268"/>
    </row>
    <row r="189" spans="6:6" x14ac:dyDescent="0.2">
      <c r="F189" s="268"/>
    </row>
    <row r="190" spans="6:6" x14ac:dyDescent="0.2">
      <c r="F190" s="268"/>
    </row>
    <row r="191" spans="6:6" x14ac:dyDescent="0.2">
      <c r="F191" s="268"/>
    </row>
    <row r="192" spans="6:6" x14ac:dyDescent="0.2">
      <c r="F192" s="268"/>
    </row>
    <row r="193" spans="6:6" x14ac:dyDescent="0.2">
      <c r="F193" s="268"/>
    </row>
    <row r="194" spans="6:6" x14ac:dyDescent="0.2">
      <c r="F194" s="268"/>
    </row>
    <row r="195" spans="6:6" x14ac:dyDescent="0.2">
      <c r="F195" s="268"/>
    </row>
    <row r="196" spans="6:6" x14ac:dyDescent="0.2">
      <c r="F196" s="268"/>
    </row>
    <row r="197" spans="6:6" x14ac:dyDescent="0.2">
      <c r="F197" s="268"/>
    </row>
    <row r="198" spans="6:6" x14ac:dyDescent="0.2">
      <c r="F198" s="268"/>
    </row>
    <row r="199" spans="6:6" x14ac:dyDescent="0.2">
      <c r="F199" s="268"/>
    </row>
    <row r="200" spans="6:6" x14ac:dyDescent="0.2">
      <c r="F200" s="268"/>
    </row>
    <row r="201" spans="6:6" x14ac:dyDescent="0.2">
      <c r="F201" s="268"/>
    </row>
    <row r="202" spans="6:6" x14ac:dyDescent="0.2">
      <c r="F202" s="268"/>
    </row>
    <row r="203" spans="6:6" x14ac:dyDescent="0.2">
      <c r="F203" s="268"/>
    </row>
    <row r="204" spans="6:6" x14ac:dyDescent="0.2">
      <c r="F204" s="268"/>
    </row>
    <row r="205" spans="6:6" x14ac:dyDescent="0.2">
      <c r="F205" s="268"/>
    </row>
    <row r="206" spans="6:6" x14ac:dyDescent="0.2">
      <c r="F206" s="268"/>
    </row>
    <row r="207" spans="6:6" x14ac:dyDescent="0.2">
      <c r="F207" s="268"/>
    </row>
    <row r="208" spans="6:6" x14ac:dyDescent="0.2">
      <c r="F208" s="268"/>
    </row>
    <row r="209" spans="6:6" x14ac:dyDescent="0.2">
      <c r="F209" s="268"/>
    </row>
    <row r="210" spans="6:6" x14ac:dyDescent="0.2">
      <c r="F210" s="268"/>
    </row>
    <row r="211" spans="6:6" x14ac:dyDescent="0.2">
      <c r="F211" s="268"/>
    </row>
    <row r="212" spans="6:6" x14ac:dyDescent="0.2">
      <c r="F212" s="268"/>
    </row>
    <row r="213" spans="6:6" x14ac:dyDescent="0.2">
      <c r="F213" s="268"/>
    </row>
    <row r="214" spans="6:6" x14ac:dyDescent="0.2">
      <c r="F214" s="268"/>
    </row>
    <row r="215" spans="6:6" x14ac:dyDescent="0.2">
      <c r="F215" s="268"/>
    </row>
    <row r="216" spans="6:6" x14ac:dyDescent="0.2">
      <c r="F216" s="268"/>
    </row>
    <row r="217" spans="6:6" x14ac:dyDescent="0.2">
      <c r="F217" s="268"/>
    </row>
    <row r="218" spans="6:6" x14ac:dyDescent="0.2">
      <c r="F218" s="268"/>
    </row>
    <row r="219" spans="6:6" x14ac:dyDescent="0.2">
      <c r="F219" s="268"/>
    </row>
    <row r="220" spans="6:6" x14ac:dyDescent="0.2">
      <c r="F220" s="268"/>
    </row>
    <row r="221" spans="6:6" x14ac:dyDescent="0.2">
      <c r="F221" s="268"/>
    </row>
    <row r="222" spans="6:6" x14ac:dyDescent="0.2">
      <c r="F222" s="268"/>
    </row>
    <row r="223" spans="6:6" x14ac:dyDescent="0.2">
      <c r="F223" s="268"/>
    </row>
    <row r="224" spans="6:6" x14ac:dyDescent="0.2">
      <c r="F224" s="268"/>
    </row>
    <row r="225" spans="6:6" x14ac:dyDescent="0.2">
      <c r="F225" s="268"/>
    </row>
    <row r="226" spans="6:6" x14ac:dyDescent="0.2">
      <c r="F226" s="268"/>
    </row>
    <row r="227" spans="6:6" x14ac:dyDescent="0.2">
      <c r="F227" s="268"/>
    </row>
    <row r="228" spans="6:6" x14ac:dyDescent="0.2">
      <c r="F228" s="268"/>
    </row>
    <row r="229" spans="6:6" x14ac:dyDescent="0.2">
      <c r="F229" s="268"/>
    </row>
    <row r="230" spans="6:6" x14ac:dyDescent="0.2">
      <c r="F230" s="268"/>
    </row>
    <row r="231" spans="6:6" x14ac:dyDescent="0.2">
      <c r="F231" s="268"/>
    </row>
    <row r="232" spans="6:6" x14ac:dyDescent="0.2">
      <c r="F232" s="268"/>
    </row>
    <row r="233" spans="6:6" x14ac:dyDescent="0.2">
      <c r="F233" s="268"/>
    </row>
    <row r="234" spans="6:6" x14ac:dyDescent="0.2">
      <c r="F234" s="268"/>
    </row>
    <row r="235" spans="6:6" x14ac:dyDescent="0.2">
      <c r="F235" s="268"/>
    </row>
    <row r="236" spans="6:6" x14ac:dyDescent="0.2">
      <c r="F236" s="268"/>
    </row>
    <row r="237" spans="6:6" x14ac:dyDescent="0.2">
      <c r="F237" s="268"/>
    </row>
    <row r="238" spans="6:6" x14ac:dyDescent="0.2">
      <c r="F238" s="268"/>
    </row>
    <row r="239" spans="6:6" x14ac:dyDescent="0.2">
      <c r="F239" s="268"/>
    </row>
    <row r="240" spans="6:6" x14ac:dyDescent="0.2">
      <c r="F240" s="268"/>
    </row>
    <row r="241" spans="6:6" x14ac:dyDescent="0.2">
      <c r="F241" s="268"/>
    </row>
    <row r="242" spans="6:6" x14ac:dyDescent="0.2">
      <c r="F242" s="268"/>
    </row>
    <row r="243" spans="6:6" x14ac:dyDescent="0.2">
      <c r="F243" s="268"/>
    </row>
    <row r="244" spans="6:6" x14ac:dyDescent="0.2">
      <c r="F244" s="268"/>
    </row>
    <row r="245" spans="6:6" x14ac:dyDescent="0.2">
      <c r="F245" s="268"/>
    </row>
    <row r="246" spans="6:6" x14ac:dyDescent="0.2">
      <c r="F246" s="268"/>
    </row>
    <row r="247" spans="6:6" x14ac:dyDescent="0.2">
      <c r="F247" s="268"/>
    </row>
    <row r="248" spans="6:6" x14ac:dyDescent="0.2">
      <c r="F248" s="268"/>
    </row>
    <row r="249" spans="6:6" x14ac:dyDescent="0.2">
      <c r="F249" s="268"/>
    </row>
    <row r="250" spans="6:6" x14ac:dyDescent="0.2">
      <c r="F250" s="268"/>
    </row>
    <row r="251" spans="6:6" x14ac:dyDescent="0.2">
      <c r="F251" s="268"/>
    </row>
    <row r="252" spans="6:6" x14ac:dyDescent="0.2">
      <c r="F252" s="268"/>
    </row>
    <row r="253" spans="6:6" x14ac:dyDescent="0.2">
      <c r="F253" s="268"/>
    </row>
    <row r="254" spans="6:6" x14ac:dyDescent="0.2">
      <c r="F254" s="268"/>
    </row>
    <row r="255" spans="6:6" x14ac:dyDescent="0.2">
      <c r="F255" s="268"/>
    </row>
    <row r="256" spans="6:6" x14ac:dyDescent="0.2">
      <c r="F256" s="268"/>
    </row>
    <row r="257" spans="6:6" x14ac:dyDescent="0.2">
      <c r="F257" s="268"/>
    </row>
    <row r="258" spans="6:6" x14ac:dyDescent="0.2">
      <c r="F258" s="268"/>
    </row>
    <row r="259" spans="6:6" x14ac:dyDescent="0.2">
      <c r="F259" s="268"/>
    </row>
    <row r="260" spans="6:6" x14ac:dyDescent="0.2">
      <c r="F260" s="268"/>
    </row>
    <row r="261" spans="6:6" x14ac:dyDescent="0.2">
      <c r="F261" s="268"/>
    </row>
    <row r="262" spans="6:6" x14ac:dyDescent="0.2">
      <c r="F262" s="268"/>
    </row>
    <row r="263" spans="6:6" x14ac:dyDescent="0.2">
      <c r="F263" s="268"/>
    </row>
    <row r="264" spans="6:6" x14ac:dyDescent="0.2">
      <c r="F264" s="268"/>
    </row>
    <row r="265" spans="6:6" x14ac:dyDescent="0.2">
      <c r="F265" s="268"/>
    </row>
    <row r="266" spans="6:6" x14ac:dyDescent="0.2">
      <c r="F266" s="268"/>
    </row>
    <row r="267" spans="6:6" x14ac:dyDescent="0.2">
      <c r="F267" s="268"/>
    </row>
    <row r="268" spans="6:6" x14ac:dyDescent="0.2">
      <c r="F268" s="268"/>
    </row>
    <row r="269" spans="6:6" x14ac:dyDescent="0.2">
      <c r="F269" s="268"/>
    </row>
    <row r="270" spans="6:6" x14ac:dyDescent="0.2">
      <c r="F270" s="268"/>
    </row>
    <row r="271" spans="6:6" x14ac:dyDescent="0.2">
      <c r="F271" s="268"/>
    </row>
    <row r="272" spans="6:6" x14ac:dyDescent="0.2">
      <c r="F272" s="268"/>
    </row>
    <row r="273" spans="6:6" x14ac:dyDescent="0.2">
      <c r="F273" s="268"/>
    </row>
    <row r="274" spans="6:6" x14ac:dyDescent="0.2">
      <c r="F274" s="268"/>
    </row>
    <row r="275" spans="6:6" x14ac:dyDescent="0.2">
      <c r="F275" s="268"/>
    </row>
    <row r="276" spans="6:6" x14ac:dyDescent="0.2">
      <c r="F276" s="268"/>
    </row>
    <row r="277" spans="6:6" x14ac:dyDescent="0.2">
      <c r="F277" s="268"/>
    </row>
    <row r="278" spans="6:6" x14ac:dyDescent="0.2">
      <c r="F278" s="268"/>
    </row>
    <row r="279" spans="6:6" x14ac:dyDescent="0.2">
      <c r="F279" s="268"/>
    </row>
    <row r="280" spans="6:6" x14ac:dyDescent="0.2">
      <c r="F280" s="268"/>
    </row>
    <row r="281" spans="6:6" x14ac:dyDescent="0.2">
      <c r="F281" s="268"/>
    </row>
    <row r="282" spans="6:6" x14ac:dyDescent="0.2">
      <c r="F282" s="268"/>
    </row>
    <row r="283" spans="6:6" x14ac:dyDescent="0.2">
      <c r="F283" s="268"/>
    </row>
    <row r="284" spans="6:6" x14ac:dyDescent="0.2">
      <c r="F284" s="268"/>
    </row>
    <row r="285" spans="6:6" x14ac:dyDescent="0.2">
      <c r="F285" s="268"/>
    </row>
    <row r="286" spans="6:6" x14ac:dyDescent="0.2">
      <c r="F286" s="268"/>
    </row>
    <row r="287" spans="6:6" x14ac:dyDescent="0.2">
      <c r="F287" s="268"/>
    </row>
    <row r="288" spans="6:6" x14ac:dyDescent="0.2">
      <c r="F288" s="268"/>
    </row>
    <row r="289" spans="6:6" x14ac:dyDescent="0.2">
      <c r="F289" s="268"/>
    </row>
    <row r="290" spans="6:6" x14ac:dyDescent="0.2">
      <c r="F290" s="268"/>
    </row>
    <row r="291" spans="6:6" x14ac:dyDescent="0.2">
      <c r="F291" s="268"/>
    </row>
    <row r="292" spans="6:6" x14ac:dyDescent="0.2">
      <c r="F292" s="268"/>
    </row>
    <row r="293" spans="6:6" x14ac:dyDescent="0.2">
      <c r="F293" s="268"/>
    </row>
    <row r="294" spans="6:6" x14ac:dyDescent="0.2">
      <c r="F294" s="268"/>
    </row>
    <row r="295" spans="6:6" x14ac:dyDescent="0.2">
      <c r="F295" s="268"/>
    </row>
    <row r="296" spans="6:6" x14ac:dyDescent="0.2">
      <c r="F296" s="268"/>
    </row>
    <row r="297" spans="6:6" x14ac:dyDescent="0.2">
      <c r="F297" s="268"/>
    </row>
    <row r="298" spans="6:6" x14ac:dyDescent="0.2">
      <c r="F298" s="268"/>
    </row>
    <row r="299" spans="6:6" x14ac:dyDescent="0.2">
      <c r="F299" s="268"/>
    </row>
    <row r="300" spans="6:6" x14ac:dyDescent="0.2">
      <c r="F300" s="268"/>
    </row>
    <row r="301" spans="6:6" x14ac:dyDescent="0.2">
      <c r="F301" s="268"/>
    </row>
    <row r="302" spans="6:6" x14ac:dyDescent="0.2">
      <c r="F302" s="268"/>
    </row>
    <row r="303" spans="6:6" x14ac:dyDescent="0.2">
      <c r="F303" s="268"/>
    </row>
    <row r="304" spans="6:6" x14ac:dyDescent="0.2">
      <c r="F304" s="268"/>
    </row>
    <row r="305" spans="6:6" x14ac:dyDescent="0.2">
      <c r="F305" s="268"/>
    </row>
    <row r="306" spans="6:6" x14ac:dyDescent="0.2">
      <c r="F306" s="268"/>
    </row>
    <row r="307" spans="6:6" x14ac:dyDescent="0.2">
      <c r="F307" s="268"/>
    </row>
    <row r="308" spans="6:6" x14ac:dyDescent="0.2">
      <c r="F308" s="268"/>
    </row>
    <row r="309" spans="6:6" x14ac:dyDescent="0.2">
      <c r="F309" s="268"/>
    </row>
    <row r="310" spans="6:6" x14ac:dyDescent="0.2">
      <c r="F310" s="268"/>
    </row>
    <row r="311" spans="6:6" x14ac:dyDescent="0.2">
      <c r="F311" s="268"/>
    </row>
    <row r="312" spans="6:6" x14ac:dyDescent="0.2">
      <c r="F312" s="268"/>
    </row>
    <row r="313" spans="6:6" x14ac:dyDescent="0.2">
      <c r="F313" s="268"/>
    </row>
    <row r="314" spans="6:6" x14ac:dyDescent="0.2">
      <c r="F314" s="268"/>
    </row>
    <row r="315" spans="6:6" x14ac:dyDescent="0.2">
      <c r="F315" s="268"/>
    </row>
    <row r="316" spans="6:6" x14ac:dyDescent="0.2">
      <c r="F316" s="268"/>
    </row>
    <row r="317" spans="6:6" x14ac:dyDescent="0.2">
      <c r="F317" s="268"/>
    </row>
    <row r="318" spans="6:6" x14ac:dyDescent="0.2">
      <c r="F318" s="268"/>
    </row>
    <row r="319" spans="6:6" x14ac:dyDescent="0.2">
      <c r="F319" s="268"/>
    </row>
    <row r="320" spans="6:6" x14ac:dyDescent="0.2">
      <c r="F320" s="268"/>
    </row>
    <row r="321" spans="6:6" x14ac:dyDescent="0.2">
      <c r="F321" s="268"/>
    </row>
    <row r="322" spans="6:6" x14ac:dyDescent="0.2">
      <c r="F322" s="268"/>
    </row>
    <row r="323" spans="6:6" x14ac:dyDescent="0.2">
      <c r="F323" s="268"/>
    </row>
    <row r="324" spans="6:6" x14ac:dyDescent="0.2">
      <c r="F324" s="268"/>
    </row>
    <row r="325" spans="6:6" x14ac:dyDescent="0.2">
      <c r="F325" s="268"/>
    </row>
    <row r="326" spans="6:6" x14ac:dyDescent="0.2">
      <c r="F326" s="268"/>
    </row>
    <row r="327" spans="6:6" x14ac:dyDescent="0.2">
      <c r="F327" s="268"/>
    </row>
    <row r="328" spans="6:6" x14ac:dyDescent="0.2">
      <c r="F328" s="268"/>
    </row>
    <row r="329" spans="6:6" x14ac:dyDescent="0.2">
      <c r="F329" s="268"/>
    </row>
    <row r="330" spans="6:6" x14ac:dyDescent="0.2">
      <c r="F330" s="268"/>
    </row>
    <row r="331" spans="6:6" x14ac:dyDescent="0.2">
      <c r="F331" s="268"/>
    </row>
    <row r="332" spans="6:6" x14ac:dyDescent="0.2">
      <c r="F332" s="268"/>
    </row>
    <row r="333" spans="6:6" x14ac:dyDescent="0.2">
      <c r="F333" s="268"/>
    </row>
    <row r="334" spans="6:6" x14ac:dyDescent="0.2">
      <c r="F334" s="268"/>
    </row>
    <row r="335" spans="6:6" x14ac:dyDescent="0.2">
      <c r="F335" s="268"/>
    </row>
    <row r="336" spans="6:6" x14ac:dyDescent="0.2">
      <c r="F336" s="268"/>
    </row>
    <row r="337" spans="6:6" x14ac:dyDescent="0.2">
      <c r="F337" s="268"/>
    </row>
    <row r="338" spans="6:6" x14ac:dyDescent="0.2">
      <c r="F338" s="268"/>
    </row>
    <row r="339" spans="6:6" x14ac:dyDescent="0.2">
      <c r="F339" s="268"/>
    </row>
    <row r="340" spans="6:6" x14ac:dyDescent="0.2">
      <c r="F340" s="268"/>
    </row>
    <row r="341" spans="6:6" x14ac:dyDescent="0.2">
      <c r="F341" s="268"/>
    </row>
    <row r="342" spans="6:6" x14ac:dyDescent="0.2">
      <c r="F342" s="268"/>
    </row>
    <row r="343" spans="6:6" x14ac:dyDescent="0.2">
      <c r="F343" s="268"/>
    </row>
    <row r="344" spans="6:6" x14ac:dyDescent="0.2">
      <c r="F344" s="268"/>
    </row>
    <row r="345" spans="6:6" x14ac:dyDescent="0.2">
      <c r="F345" s="268"/>
    </row>
    <row r="346" spans="6:6" x14ac:dyDescent="0.2">
      <c r="F346" s="268"/>
    </row>
    <row r="347" spans="6:6" x14ac:dyDescent="0.2">
      <c r="F347" s="268"/>
    </row>
    <row r="348" spans="6:6" x14ac:dyDescent="0.2">
      <c r="F348" s="268"/>
    </row>
    <row r="349" spans="6:6" x14ac:dyDescent="0.2">
      <c r="F349" s="268"/>
    </row>
    <row r="350" spans="6:6" x14ac:dyDescent="0.2">
      <c r="F350" s="268"/>
    </row>
    <row r="351" spans="6:6" x14ac:dyDescent="0.2">
      <c r="F351" s="268"/>
    </row>
    <row r="352" spans="6:6" x14ac:dyDescent="0.2">
      <c r="F352" s="268"/>
    </row>
    <row r="353" spans="6:6" x14ac:dyDescent="0.2">
      <c r="F353" s="268"/>
    </row>
    <row r="354" spans="6:6" x14ac:dyDescent="0.2">
      <c r="F354" s="268"/>
    </row>
    <row r="355" spans="6:6" x14ac:dyDescent="0.2">
      <c r="F355" s="268"/>
    </row>
    <row r="356" spans="6:6" x14ac:dyDescent="0.2">
      <c r="F356" s="268"/>
    </row>
    <row r="357" spans="6:6" x14ac:dyDescent="0.2">
      <c r="F357" s="268"/>
    </row>
    <row r="358" spans="6:6" x14ac:dyDescent="0.2">
      <c r="F358" s="268"/>
    </row>
    <row r="359" spans="6:6" x14ac:dyDescent="0.2">
      <c r="F359" s="268"/>
    </row>
    <row r="360" spans="6:6" x14ac:dyDescent="0.2">
      <c r="F360" s="268"/>
    </row>
    <row r="361" spans="6:6" x14ac:dyDescent="0.2">
      <c r="F361" s="268"/>
    </row>
    <row r="362" spans="6:6" x14ac:dyDescent="0.2">
      <c r="F362" s="268"/>
    </row>
    <row r="363" spans="6:6" x14ac:dyDescent="0.2">
      <c r="F363" s="268"/>
    </row>
    <row r="364" spans="6:6" x14ac:dyDescent="0.2">
      <c r="F364" s="268"/>
    </row>
    <row r="365" spans="6:6" x14ac:dyDescent="0.2">
      <c r="F365" s="268"/>
    </row>
    <row r="366" spans="6:6" x14ac:dyDescent="0.2">
      <c r="F366" s="268"/>
    </row>
    <row r="367" spans="6:6" x14ac:dyDescent="0.2">
      <c r="F367" s="268"/>
    </row>
    <row r="368" spans="6:6" x14ac:dyDescent="0.2">
      <c r="F368" s="268"/>
    </row>
    <row r="369" spans="6:6" x14ac:dyDescent="0.2">
      <c r="F369" s="268"/>
    </row>
    <row r="370" spans="6:6" x14ac:dyDescent="0.2">
      <c r="F370" s="268"/>
    </row>
    <row r="371" spans="6:6" x14ac:dyDescent="0.2">
      <c r="F371" s="268"/>
    </row>
    <row r="372" spans="6:6" x14ac:dyDescent="0.2">
      <c r="F372" s="268"/>
    </row>
    <row r="373" spans="6:6" x14ac:dyDescent="0.2">
      <c r="F373" s="268"/>
    </row>
  </sheetData>
  <sheetProtection selectLockedCells="1"/>
  <mergeCells count="89">
    <mergeCell ref="L99:N99"/>
    <mergeCell ref="L82:N82"/>
    <mergeCell ref="L110:N110"/>
    <mergeCell ref="L73:N73"/>
    <mergeCell ref="L74:N74"/>
    <mergeCell ref="L76:N76"/>
    <mergeCell ref="L77:N77"/>
    <mergeCell ref="L109:N109"/>
    <mergeCell ref="L107:M107"/>
    <mergeCell ref="L75:N75"/>
    <mergeCell ref="H136:I136"/>
    <mergeCell ref="F135:I135"/>
    <mergeCell ref="F124:J124"/>
    <mergeCell ref="F125:J125"/>
    <mergeCell ref="L126:N126"/>
    <mergeCell ref="L128:N128"/>
    <mergeCell ref="L129:N129"/>
    <mergeCell ref="F131:I131"/>
    <mergeCell ref="L127:N127"/>
    <mergeCell ref="H134:I134"/>
    <mergeCell ref="L125:N125"/>
    <mergeCell ref="F129:I129"/>
    <mergeCell ref="F133:I133"/>
    <mergeCell ref="L130:N130"/>
    <mergeCell ref="H132:I132"/>
    <mergeCell ref="H130:I130"/>
    <mergeCell ref="B128:D128"/>
    <mergeCell ref="F64:G64"/>
    <mergeCell ref="B83:D83"/>
    <mergeCell ref="H66:I66"/>
    <mergeCell ref="H67:I67"/>
    <mergeCell ref="B76:D76"/>
    <mergeCell ref="F87:H87"/>
    <mergeCell ref="H69:I69"/>
    <mergeCell ref="H114:I114"/>
    <mergeCell ref="B121:D121"/>
    <mergeCell ref="B101:D101"/>
    <mergeCell ref="F101:J101"/>
    <mergeCell ref="F119:J119"/>
    <mergeCell ref="H112:I112"/>
    <mergeCell ref="F80:J80"/>
    <mergeCell ref="F117:I117"/>
    <mergeCell ref="L26:N26"/>
    <mergeCell ref="L40:N40"/>
    <mergeCell ref="A36:D36"/>
    <mergeCell ref="F27:I27"/>
    <mergeCell ref="B56:D56"/>
    <mergeCell ref="F56:J56"/>
    <mergeCell ref="L54:N54"/>
    <mergeCell ref="L41:N41"/>
    <mergeCell ref="L42:N42"/>
    <mergeCell ref="F33:J33"/>
    <mergeCell ref="F34:J34"/>
    <mergeCell ref="L43:N43"/>
    <mergeCell ref="L44:N44"/>
    <mergeCell ref="H21:I21"/>
    <mergeCell ref="B7:E7"/>
    <mergeCell ref="F6:H6"/>
    <mergeCell ref="F8:H8"/>
    <mergeCell ref="H113:I113"/>
    <mergeCell ref="H68:I68"/>
    <mergeCell ref="F74:J74"/>
    <mergeCell ref="F79:J79"/>
    <mergeCell ref="F109:G109"/>
    <mergeCell ref="H111:I111"/>
    <mergeCell ref="A1:N1"/>
    <mergeCell ref="A9:D9"/>
    <mergeCell ref="A29:D29"/>
    <mergeCell ref="H24:I24"/>
    <mergeCell ref="L25:N25"/>
    <mergeCell ref="F28:J28"/>
    <mergeCell ref="L9:N9"/>
    <mergeCell ref="F19:G19"/>
    <mergeCell ref="L18:N18"/>
    <mergeCell ref="F21:G21"/>
    <mergeCell ref="F9:J9"/>
    <mergeCell ref="H23:I23"/>
    <mergeCell ref="B2:E2"/>
    <mergeCell ref="B5:E5"/>
    <mergeCell ref="L17:M17"/>
    <mergeCell ref="H22:I22"/>
    <mergeCell ref="L69:M69"/>
    <mergeCell ref="L62:M62"/>
    <mergeCell ref="F72:I72"/>
    <mergeCell ref="L65:N65"/>
    <mergeCell ref="L68:M68"/>
    <mergeCell ref="L70:M70"/>
    <mergeCell ref="L64:N64"/>
    <mergeCell ref="L72:N72"/>
  </mergeCells>
  <pageMargins left="0.25" right="0.25" top="0.25" bottom="0.25" header="0.5" footer="0.5"/>
  <pageSetup scale="81" orientation="landscape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3D3B5-FF18-40A6-AB1F-C460B6B4BB7C}">
  <sheetPr>
    <pageSetUpPr fitToPage="1"/>
  </sheetPr>
  <dimension ref="A1:O27"/>
  <sheetViews>
    <sheetView workbookViewId="0">
      <selection activeCell="E9" sqref="E9"/>
    </sheetView>
  </sheetViews>
  <sheetFormatPr defaultRowHeight="15" x14ac:dyDescent="0.25"/>
  <cols>
    <col min="1" max="1" width="32.28515625" customWidth="1"/>
    <col min="2" max="2" width="22.5703125" bestFit="1" customWidth="1"/>
    <col min="3" max="3" width="20.42578125" customWidth="1"/>
    <col min="4" max="4" width="14.28515625" customWidth="1"/>
    <col min="5" max="5" width="15.28515625" customWidth="1"/>
    <col min="6" max="6" width="26" customWidth="1"/>
    <col min="7" max="7" width="11" bestFit="1" customWidth="1"/>
    <col min="8" max="8" width="10.140625" bestFit="1" customWidth="1"/>
  </cols>
  <sheetData>
    <row r="1" spans="1:15" x14ac:dyDescent="0.25">
      <c r="J1" t="s">
        <v>1</v>
      </c>
      <c r="K1" t="s">
        <v>378</v>
      </c>
      <c r="N1" t="s">
        <v>0</v>
      </c>
      <c r="O1" t="s">
        <v>380</v>
      </c>
    </row>
    <row r="2" spans="1:15" x14ac:dyDescent="0.25">
      <c r="A2" t="s">
        <v>392</v>
      </c>
      <c r="B2" t="s">
        <v>431</v>
      </c>
      <c r="C2" t="s">
        <v>0</v>
      </c>
      <c r="E2" t="s">
        <v>432</v>
      </c>
    </row>
    <row r="3" spans="1:15" x14ac:dyDescent="0.25">
      <c r="A3" t="s">
        <v>393</v>
      </c>
      <c r="H3" t="s">
        <v>381</v>
      </c>
      <c r="I3" s="196">
        <v>477.9</v>
      </c>
      <c r="J3" s="196"/>
    </row>
    <row r="4" spans="1:15" x14ac:dyDescent="0.25">
      <c r="A4" t="s">
        <v>406</v>
      </c>
      <c r="B4" t="s">
        <v>407</v>
      </c>
      <c r="C4" t="s">
        <v>408</v>
      </c>
      <c r="D4" t="s">
        <v>410</v>
      </c>
      <c r="E4" t="s">
        <v>409</v>
      </c>
      <c r="H4" t="s">
        <v>382</v>
      </c>
      <c r="I4" s="480">
        <v>7</v>
      </c>
      <c r="J4" s="196" t="s">
        <v>383</v>
      </c>
      <c r="K4" t="s">
        <v>384</v>
      </c>
    </row>
    <row r="5" spans="1:15" x14ac:dyDescent="0.25">
      <c r="A5" s="482">
        <v>3425.32</v>
      </c>
      <c r="B5">
        <v>11</v>
      </c>
      <c r="C5" s="196">
        <v>3615.77</v>
      </c>
      <c r="D5" s="196">
        <f>C5-A5</f>
        <v>190.44999999999982</v>
      </c>
      <c r="E5" s="196">
        <f>(C5-A5)*B5</f>
        <v>2094.949999999998</v>
      </c>
      <c r="F5" t="s">
        <v>434</v>
      </c>
      <c r="I5" s="480"/>
      <c r="J5" s="196"/>
    </row>
    <row r="6" spans="1:15" x14ac:dyDescent="0.25">
      <c r="A6" s="196">
        <v>2444.42</v>
      </c>
      <c r="B6">
        <v>1</v>
      </c>
      <c r="C6" s="196">
        <v>2634.86</v>
      </c>
      <c r="D6" s="196">
        <f>C6-A6</f>
        <v>190.44000000000005</v>
      </c>
      <c r="E6" s="196">
        <f>(C6-A6)*B6</f>
        <v>190.44000000000005</v>
      </c>
      <c r="F6" s="481" t="s">
        <v>417</v>
      </c>
      <c r="H6" t="s">
        <v>211</v>
      </c>
    </row>
    <row r="7" spans="1:15" x14ac:dyDescent="0.25">
      <c r="A7" s="196"/>
      <c r="C7" s="196"/>
      <c r="D7" s="196">
        <f>C7-A7</f>
        <v>0</v>
      </c>
      <c r="E7" s="196">
        <f>(C7-A7)*B7</f>
        <v>0</v>
      </c>
      <c r="H7" t="s">
        <v>385</v>
      </c>
      <c r="I7" s="196">
        <f>I3*I4</f>
        <v>3345.2999999999997</v>
      </c>
      <c r="J7" s="196"/>
    </row>
    <row r="8" spans="1:15" x14ac:dyDescent="0.25">
      <c r="E8" s="196">
        <f>SUM(E5:E7)</f>
        <v>2285.3899999999981</v>
      </c>
      <c r="F8" t="s">
        <v>418</v>
      </c>
    </row>
    <row r="9" spans="1:15" x14ac:dyDescent="0.25">
      <c r="E9" s="196"/>
    </row>
    <row r="10" spans="1:15" x14ac:dyDescent="0.25">
      <c r="I10" s="196"/>
      <c r="J10" s="196"/>
    </row>
    <row r="11" spans="1:15" x14ac:dyDescent="0.25">
      <c r="A11" t="s">
        <v>411</v>
      </c>
      <c r="B11" s="196">
        <v>145.93</v>
      </c>
      <c r="C11">
        <f>B11/A5</f>
        <v>4.2603318814008619E-2</v>
      </c>
      <c r="D11" s="196">
        <f>D5*C11</f>
        <v>8.1138020681279333</v>
      </c>
      <c r="I11" s="196"/>
      <c r="J11" s="196"/>
    </row>
    <row r="12" spans="1:15" x14ac:dyDescent="0.25">
      <c r="A12" s="196" t="s">
        <v>412</v>
      </c>
      <c r="B12" s="196">
        <v>30.53</v>
      </c>
      <c r="I12" s="196"/>
      <c r="J12" s="196"/>
    </row>
    <row r="13" spans="1:15" x14ac:dyDescent="0.25">
      <c r="A13" s="196" t="s">
        <v>415</v>
      </c>
      <c r="B13" s="196">
        <f>E8</f>
        <v>2285.3899999999981</v>
      </c>
      <c r="I13" s="196"/>
      <c r="J13" s="196"/>
    </row>
    <row r="14" spans="1:15" x14ac:dyDescent="0.25">
      <c r="A14" t="s">
        <v>414</v>
      </c>
      <c r="B14" s="196">
        <f>B11*(SUM(B5:B8))</f>
        <v>1751.16</v>
      </c>
      <c r="I14" s="196"/>
      <c r="J14" s="196"/>
    </row>
    <row r="15" spans="1:15" x14ac:dyDescent="0.25">
      <c r="A15" t="s">
        <v>413</v>
      </c>
      <c r="B15" s="196">
        <f>B12*SUM(B5:B8)</f>
        <v>366.36</v>
      </c>
      <c r="I15" s="196"/>
      <c r="J15" s="196"/>
    </row>
    <row r="16" spans="1:15" x14ac:dyDescent="0.25">
      <c r="A16" t="s">
        <v>416</v>
      </c>
      <c r="B16" s="196">
        <f>B13-B14-B15</f>
        <v>167.86999999999796</v>
      </c>
      <c r="I16" s="196"/>
    </row>
    <row r="17" spans="1:9" hidden="1" x14ac:dyDescent="0.25">
      <c r="I17" t="s">
        <v>379</v>
      </c>
    </row>
    <row r="18" spans="1:9" hidden="1" x14ac:dyDescent="0.25">
      <c r="A18" t="s">
        <v>395</v>
      </c>
      <c r="B18" s="196">
        <v>794.5</v>
      </c>
    </row>
    <row r="19" spans="1:9" hidden="1" x14ac:dyDescent="0.25">
      <c r="A19" t="s">
        <v>386</v>
      </c>
      <c r="B19" s="196">
        <f>B18-B7</f>
        <v>794.5</v>
      </c>
    </row>
    <row r="20" spans="1:9" hidden="1" x14ac:dyDescent="0.25">
      <c r="A20" t="s">
        <v>387</v>
      </c>
      <c r="B20" s="480">
        <v>5</v>
      </c>
      <c r="C20" t="s">
        <v>405</v>
      </c>
    </row>
    <row r="21" spans="1:9" hidden="1" x14ac:dyDescent="0.25">
      <c r="A21" t="s">
        <v>396</v>
      </c>
      <c r="B21" s="196">
        <f>B19*B20</f>
        <v>3972.5</v>
      </c>
    </row>
    <row r="22" spans="1:9" hidden="1" x14ac:dyDescent="0.25">
      <c r="A22" t="s">
        <v>397</v>
      </c>
      <c r="B22" s="196">
        <v>400.46</v>
      </c>
    </row>
    <row r="23" spans="1:9" hidden="1" x14ac:dyDescent="0.25">
      <c r="A23" t="s">
        <v>394</v>
      </c>
      <c r="B23" s="196">
        <f>B18-B22</f>
        <v>394.04</v>
      </c>
    </row>
    <row r="24" spans="1:9" hidden="1" x14ac:dyDescent="0.25">
      <c r="A24" t="s">
        <v>388</v>
      </c>
      <c r="B24" s="196">
        <f>(B19*B20)+B23</f>
        <v>4366.54</v>
      </c>
    </row>
    <row r="25" spans="1:9" hidden="1" x14ac:dyDescent="0.25">
      <c r="A25" t="s">
        <v>389</v>
      </c>
      <c r="B25" s="196">
        <v>30</v>
      </c>
    </row>
    <row r="26" spans="1:9" hidden="1" x14ac:dyDescent="0.25">
      <c r="A26" t="s">
        <v>390</v>
      </c>
      <c r="B26" s="196">
        <v>5</v>
      </c>
    </row>
    <row r="27" spans="1:9" hidden="1" x14ac:dyDescent="0.25">
      <c r="A27" t="s">
        <v>391</v>
      </c>
      <c r="B27" s="196">
        <f>B24-((B25+B26)*(B20+1))</f>
        <v>4156.54</v>
      </c>
    </row>
  </sheetData>
  <pageMargins left="0.25" right="0.25" top="0.75" bottom="0.75" header="0.3" footer="0.3"/>
  <pageSetup fitToHeight="0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F3B1-095C-49FA-AF51-126558D635FC}">
  <sheetPr>
    <pageSetUpPr fitToPage="1"/>
  </sheetPr>
  <dimension ref="A1:L43"/>
  <sheetViews>
    <sheetView zoomScaleNormal="100" workbookViewId="0">
      <selection activeCell="H15" sqref="H15"/>
    </sheetView>
  </sheetViews>
  <sheetFormatPr defaultColWidth="9.140625" defaultRowHeight="13.5" x14ac:dyDescent="0.25"/>
  <cols>
    <col min="1" max="1" width="12" style="1" customWidth="1"/>
    <col min="2" max="2" width="9.42578125" style="1" customWidth="1"/>
    <col min="3" max="3" width="10.5703125" style="1" customWidth="1"/>
    <col min="4" max="4" width="10.7109375" style="1" customWidth="1"/>
    <col min="5" max="5" width="9.140625" style="1"/>
    <col min="6" max="6" width="10.7109375" style="1" customWidth="1"/>
    <col min="7" max="7" width="14.7109375" style="1" customWidth="1"/>
    <col min="8" max="8" width="10" style="1" customWidth="1"/>
    <col min="9" max="9" width="11.28515625" style="1" customWidth="1"/>
    <col min="10" max="10" width="6.85546875" style="1" bestFit="1" customWidth="1"/>
    <col min="11" max="11" width="13" style="1" bestFit="1" customWidth="1"/>
    <col min="12" max="12" width="12.42578125" style="1" customWidth="1"/>
    <col min="13" max="16384" width="9.140625" style="1"/>
  </cols>
  <sheetData>
    <row r="1" spans="1:12" x14ac:dyDescent="0.25">
      <c r="A1" s="531" t="s">
        <v>74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</row>
    <row r="2" spans="1:12" x14ac:dyDescent="0.25">
      <c r="A2" s="539" t="s">
        <v>1</v>
      </c>
      <c r="B2" s="539"/>
      <c r="C2" s="667" t="s">
        <v>214</v>
      </c>
      <c r="D2" s="667"/>
      <c r="E2" s="667"/>
      <c r="H2" s="1" t="s">
        <v>0</v>
      </c>
      <c r="I2" s="666" t="s">
        <v>87</v>
      </c>
      <c r="J2" s="666"/>
    </row>
    <row r="3" spans="1:12" x14ac:dyDescent="0.25">
      <c r="A3" s="539" t="s">
        <v>6</v>
      </c>
      <c r="B3" s="539"/>
      <c r="C3" s="14">
        <v>23531</v>
      </c>
    </row>
    <row r="4" spans="1:12" x14ac:dyDescent="0.25">
      <c r="A4" s="547" t="s">
        <v>2</v>
      </c>
      <c r="B4" s="547"/>
      <c r="C4" s="20" t="str">
        <f>DATEDIF(C3,C5,"y")&amp;"/"&amp;(DATEDIF(C3,C5, "m") - (DATEDIF(C3,C5, "y") * 12))</f>
        <v>61/7</v>
      </c>
    </row>
    <row r="5" spans="1:12" x14ac:dyDescent="0.25">
      <c r="A5" s="539" t="s">
        <v>7</v>
      </c>
      <c r="B5" s="539"/>
      <c r="C5" s="14">
        <v>46054</v>
      </c>
    </row>
    <row r="6" spans="1:12" x14ac:dyDescent="0.25">
      <c r="A6" s="539" t="s">
        <v>3</v>
      </c>
      <c r="B6" s="539"/>
      <c r="C6" s="666" t="s">
        <v>215</v>
      </c>
      <c r="D6" s="666"/>
      <c r="E6" s="666"/>
      <c r="G6" s="539" t="s">
        <v>34</v>
      </c>
      <c r="H6" s="539"/>
      <c r="I6" s="539"/>
      <c r="J6" s="12">
        <f>IF(C7=0,0,IF(AND(C3-C7&lt;0,(DATEDIF(C3,C5,"m")-(DATEDIF(C3,C5,"y")*12))-(DATEDIF(C7,C5,"m")-(DATEDIF(C7,C5,"y")*12))=0),DATEDIF(C3,C5,"y")-DATEDIF(C7,C5,"y"),IF(AND(C3-C7&gt;0,(DATEDIF(C7,C5,"m")-(DATEDIF(C7,C5,"y")*12))-(DATEDIF(C3,C5,"m")-(DATEDIF(C3,C5,"y")*12))=0),DATEDIF(C7,C5,"y")-DATEDIF(C3,C5,"y"),IF(C3-C7&lt;0,ROUNDDOWN(YEARFRAC(C3,C7),0),IF(C3-C7&gt;0,ROUNDDOWN(YEARFRAC(C7,C3),0),0)))))</f>
        <v>9</v>
      </c>
      <c r="K6" s="1" t="str">
        <f>IF(C7=0,"N/A",IF(J6=0,"No Difference.",IF(C3-C7&lt;0,"Year(s) Younger.", IF(C3-C7&gt;0, "Year(s) Older.","No Difference."))))</f>
        <v>Year(s) Younger.</v>
      </c>
    </row>
    <row r="7" spans="1:12" x14ac:dyDescent="0.25">
      <c r="A7" s="539" t="s">
        <v>5</v>
      </c>
      <c r="B7" s="539"/>
      <c r="C7" s="14">
        <v>27099</v>
      </c>
    </row>
    <row r="8" spans="1:12" ht="14.25" thickBot="1" x14ac:dyDescent="0.3">
      <c r="A8" s="539" t="s">
        <v>4</v>
      </c>
      <c r="B8" s="539"/>
      <c r="C8" s="20" t="str">
        <f>DATEDIF(C7,C5,"y")&amp;"/"&amp;(DATEDIF(C7,C5, "m") - (DATEDIF(C7,C5, "y") * 12))</f>
        <v>51/10</v>
      </c>
      <c r="D8" s="19"/>
      <c r="E8" s="19"/>
      <c r="F8" s="19"/>
      <c r="G8" s="19"/>
      <c r="H8" s="19"/>
    </row>
    <row r="9" spans="1:12" ht="15.75" customHeight="1" thickBot="1" x14ac:dyDescent="0.3">
      <c r="A9" s="561" t="s">
        <v>8</v>
      </c>
      <c r="B9" s="562"/>
      <c r="C9" s="563"/>
      <c r="D9" s="541" t="s">
        <v>14</v>
      </c>
      <c r="E9" s="541"/>
      <c r="F9" s="541"/>
      <c r="G9" s="541"/>
      <c r="H9" s="542"/>
      <c r="I9" s="540" t="s">
        <v>22</v>
      </c>
      <c r="J9" s="541"/>
      <c r="K9" s="541"/>
      <c r="L9" s="542"/>
    </row>
    <row r="10" spans="1:12" ht="14.25" thickBot="1" x14ac:dyDescent="0.3">
      <c r="A10" s="27" t="s">
        <v>35</v>
      </c>
      <c r="B10" s="28" t="s">
        <v>9</v>
      </c>
      <c r="C10" s="29" t="s">
        <v>10</v>
      </c>
      <c r="D10" s="546" t="s">
        <v>33</v>
      </c>
      <c r="E10" s="546"/>
      <c r="F10" s="546"/>
      <c r="G10" s="546"/>
      <c r="H10" s="21">
        <f>SUM(A11:A17,A20:A21,A24:A29,A33:A38)</f>
        <v>25.479999999999997</v>
      </c>
      <c r="I10" s="11" t="s">
        <v>23</v>
      </c>
      <c r="J10" s="10" t="s">
        <v>24</v>
      </c>
      <c r="K10" s="10" t="s">
        <v>26</v>
      </c>
      <c r="L10" s="15" t="s">
        <v>27</v>
      </c>
    </row>
    <row r="11" spans="1:12" x14ac:dyDescent="0.25">
      <c r="A11" s="13"/>
      <c r="B11" s="30"/>
      <c r="C11" s="5">
        <f>A11*B11</f>
        <v>0</v>
      </c>
      <c r="D11" s="539" t="s">
        <v>15</v>
      </c>
      <c r="E11" s="539"/>
      <c r="F11" s="539"/>
      <c r="G11" s="21">
        <f>SUM(A11:A17)</f>
        <v>14.4</v>
      </c>
      <c r="H11" s="3">
        <f>C18</f>
        <v>1663.5800000000002</v>
      </c>
      <c r="I11" s="16">
        <v>0.5</v>
      </c>
      <c r="J11" s="17">
        <f>IF(COUNTIF(K6,"*Younger*"),100%-8%-(J6*0.4%),IF(100%-8%+(J6*0.4%)&gt;100%,100%,100%-8%+(J6*0.4%)))</f>
        <v>0.88400000000000001</v>
      </c>
      <c r="K11" s="3">
        <f>(H13+H16+H19)*J11</f>
        <v>2219.8287540000006</v>
      </c>
      <c r="L11" s="7">
        <f>K11*I11</f>
        <v>1109.9143770000003</v>
      </c>
    </row>
    <row r="12" spans="1:12" x14ac:dyDescent="0.25">
      <c r="A12" s="13"/>
      <c r="B12" s="30"/>
      <c r="C12" s="5">
        <f t="shared" ref="C12:C17" si="0">A12*B12</f>
        <v>0</v>
      </c>
      <c r="D12" s="1" t="s">
        <v>16</v>
      </c>
      <c r="H12" s="4">
        <f>IF(DATEDIF(C3,C5,"m")&lt;=600,(DATEDIF(C3,C5,"m")-540)*0.1%+40%,IF(DATEDIF(C3,C5,"m")&lt;=660,(DATEDIF(C3,C5,"m")-600)*0.2%+46%,IF((DATEDIF(C3,C5,"m")-660)*0.5%+58%&gt;=100%,100%,(DATEDIF(C3,C5,"m")-660)*0.5%+58%)))</f>
        <v>0.97499999999999998</v>
      </c>
      <c r="I12" s="6" t="s">
        <v>25</v>
      </c>
      <c r="J12" s="17">
        <f>IF(COUNTIF(K6,"*Younger*"),100%-8%-(J6*0.4%),IF(100%-8%+(J6*0.4%)&gt;100%,100%,100%-8%+(J6*0.4%)))</f>
        <v>0.88400000000000001</v>
      </c>
      <c r="K12" s="3">
        <f>(H13+H16)*J12</f>
        <v>1623.5902020000001</v>
      </c>
      <c r="L12" s="7">
        <f>K12*I11</f>
        <v>811.79510100000005</v>
      </c>
    </row>
    <row r="13" spans="1:12" x14ac:dyDescent="0.25">
      <c r="A13" s="13"/>
      <c r="B13" s="30"/>
      <c r="C13" s="5">
        <f t="shared" si="0"/>
        <v>0</v>
      </c>
      <c r="D13" s="547" t="s">
        <v>17</v>
      </c>
      <c r="E13" s="547"/>
      <c r="F13" s="547"/>
      <c r="G13" s="547"/>
      <c r="H13" s="3">
        <f>(H11*H12)</f>
        <v>1621.9905000000001</v>
      </c>
      <c r="I13" s="16">
        <v>0.75</v>
      </c>
      <c r="J13" s="17">
        <f>IF(COUNTIF(K6,"*Younger*"),100%-12%-(J6*0.4%),IF(100%-12%+(J6*0.4%)&gt;100%,100%,100%-12%+(J6*0.4%)))</f>
        <v>0.84399999999999997</v>
      </c>
      <c r="K13" s="3">
        <f>(H13+H16+H19)*J13</f>
        <v>2119.3840140000002</v>
      </c>
      <c r="L13" s="7">
        <f>K13*I13</f>
        <v>1589.5380105000002</v>
      </c>
    </row>
    <row r="14" spans="1:12" x14ac:dyDescent="0.25">
      <c r="A14" s="13"/>
      <c r="B14" s="31">
        <v>50</v>
      </c>
      <c r="C14" s="5">
        <f t="shared" si="0"/>
        <v>0</v>
      </c>
      <c r="D14" s="539" t="s">
        <v>18</v>
      </c>
      <c r="E14" s="539"/>
      <c r="F14" s="539"/>
      <c r="G14" s="21">
        <f>SUM(A20:A21)</f>
        <v>3</v>
      </c>
      <c r="H14" s="3">
        <f>C22</f>
        <v>270</v>
      </c>
      <c r="I14" s="6" t="s">
        <v>25</v>
      </c>
      <c r="J14" s="17">
        <f>IF(COUNTIF(K6,"*Younger*"),100%-12%-(J6*0.4%),IF(100%-12%+(J6*0.4%)&gt;100%,100%,100%-12%+(J6*0.4%)))</f>
        <v>0.84399999999999997</v>
      </c>
      <c r="K14" s="3">
        <f>(H13+H16)*J14</f>
        <v>1550.1245820000001</v>
      </c>
      <c r="L14" s="7">
        <f>K14*I13</f>
        <v>1162.5934365000001</v>
      </c>
    </row>
    <row r="15" spans="1:12" x14ac:dyDescent="0.25">
      <c r="A15" s="13">
        <v>11.66</v>
      </c>
      <c r="B15" s="31">
        <v>118</v>
      </c>
      <c r="C15" s="5">
        <f t="shared" si="0"/>
        <v>1375.88</v>
      </c>
      <c r="D15" s="2" t="s">
        <v>16</v>
      </c>
      <c r="E15" s="2"/>
      <c r="H15" s="4">
        <f>IF(DATEDIF(C3,C5,"m")&lt;=600,(DATEDIF(C3,C5,"m")-540)*0.1%+22%,IF(DATEDIF(C3,C5,"m")&lt;=660,(DATEDIF(C3,C5,"m")-600)*0.2%+28%,IF((DATEDIF(C3,C5,"m")-660)*0.5%+40%&gt;=100%,100%,(DATEDIF(C3,C5,"m")-660)*0.5%+40%)))</f>
        <v>0.79500000000000004</v>
      </c>
      <c r="I15" s="16">
        <v>1</v>
      </c>
      <c r="J15" s="17">
        <f>IF(COUNTIF(K6,"*Younger*"),100%-15%-(J6*0.5%),IF(100%-15%+(J6*0.5%)&gt;100%,100%,100%-15%+(J6*0.4%)))</f>
        <v>0.80499999999999994</v>
      </c>
      <c r="K15" s="3">
        <f>(H13+H16+H19)*J15</f>
        <v>2021.4503925000001</v>
      </c>
      <c r="L15" s="7">
        <f>K15*I15</f>
        <v>2021.4503925000001</v>
      </c>
    </row>
    <row r="16" spans="1:12" ht="14.25" thickBot="1" x14ac:dyDescent="0.3">
      <c r="A16" s="13">
        <v>2.74</v>
      </c>
      <c r="B16" s="31">
        <v>105</v>
      </c>
      <c r="C16" s="5">
        <f t="shared" si="0"/>
        <v>287.70000000000005</v>
      </c>
      <c r="D16" s="547" t="s">
        <v>19</v>
      </c>
      <c r="E16" s="547"/>
      <c r="F16" s="547"/>
      <c r="G16" s="547"/>
      <c r="H16" s="3">
        <f>H14*H15</f>
        <v>214.65</v>
      </c>
      <c r="I16" s="18" t="s">
        <v>25</v>
      </c>
      <c r="J16" s="22">
        <f>IF(COUNTIF(K6,"*Younger*"),100%-15%-(J6*0.5%),IF(100%-15%+(J6*0.5%)&gt;100%,100%,100%-15%+(J6*0.4%)))</f>
        <v>0.80499999999999994</v>
      </c>
      <c r="K16" s="8">
        <f>(H13+H16)*J16</f>
        <v>1478.4956025000001</v>
      </c>
      <c r="L16" s="9">
        <f>K16*I15</f>
        <v>1478.4956025000001</v>
      </c>
    </row>
    <row r="17" spans="1:12" ht="14.25" thickBot="1" x14ac:dyDescent="0.3">
      <c r="A17" s="13"/>
      <c r="B17" s="31">
        <v>125</v>
      </c>
      <c r="C17" s="5">
        <f t="shared" si="0"/>
        <v>0</v>
      </c>
      <c r="D17" s="539" t="s">
        <v>20</v>
      </c>
      <c r="E17" s="539"/>
      <c r="F17" s="539"/>
      <c r="G17" s="21" cm="1">
        <f t="array" ref="G17">SUM(A24:A29+A33:A38)</f>
        <v>8.08</v>
      </c>
      <c r="H17" s="3">
        <f>C30+C39</f>
        <v>848.4</v>
      </c>
    </row>
    <row r="18" spans="1:12" ht="14.25" thickBot="1" x14ac:dyDescent="0.3">
      <c r="A18" s="24">
        <f>SUM(A11:A17)</f>
        <v>14.4</v>
      </c>
      <c r="B18" s="23" t="s">
        <v>11</v>
      </c>
      <c r="C18" s="26">
        <f>SUM(C11:C17)</f>
        <v>1663.5800000000002</v>
      </c>
      <c r="D18" s="1" t="s">
        <v>16</v>
      </c>
      <c r="H18" s="4">
        <f>IF(DATEDIF(C3,C5,"m")&lt;=600,(DATEDIF(C3,C5,"m")-540)*0.1%+22%,IF(DATEDIF(C3,C5,"m")&lt;=660,(DATEDIF(C3,C5,"m")-600)*0.2%+28%,IF((DATEDIF(C3,C5,"m")-660)*0.5%+40%&gt;=100%,100%,(DATEDIF(C3,C5,"m")-660)*0.5%+40%)))</f>
        <v>0.79500000000000004</v>
      </c>
      <c r="I18" s="540" t="s">
        <v>28</v>
      </c>
      <c r="J18" s="541"/>
      <c r="K18" s="541"/>
      <c r="L18" s="542"/>
    </row>
    <row r="19" spans="1:12" ht="15.75" customHeight="1" thickBot="1" x14ac:dyDescent="0.3">
      <c r="A19" s="572" t="s">
        <v>12</v>
      </c>
      <c r="B19" s="573"/>
      <c r="C19" s="574"/>
      <c r="D19" s="547" t="s">
        <v>21</v>
      </c>
      <c r="E19" s="547"/>
      <c r="F19" s="547"/>
      <c r="G19" s="547"/>
      <c r="H19" s="3">
        <f>H17*H18</f>
        <v>674.47800000000007</v>
      </c>
      <c r="I19" s="11" t="s">
        <v>23</v>
      </c>
      <c r="J19" s="10" t="s">
        <v>24</v>
      </c>
      <c r="K19" s="10" t="s">
        <v>26</v>
      </c>
      <c r="L19" s="15" t="s">
        <v>27</v>
      </c>
    </row>
    <row r="20" spans="1:12" x14ac:dyDescent="0.25">
      <c r="A20" s="13">
        <v>3</v>
      </c>
      <c r="B20" s="3">
        <v>90</v>
      </c>
      <c r="C20" s="5">
        <f>A20*B20</f>
        <v>270</v>
      </c>
      <c r="D20" s="2"/>
      <c r="E20" s="2"/>
      <c r="I20" s="16">
        <v>0.5</v>
      </c>
      <c r="J20" s="17">
        <f>IF(COUNTIF(K6,"*Younger*"),100%-18%-(J6*0.4%),IF(100%-18%+(J6*0.4%)&gt;100%,100%,100%-18%+(J6*0.4%)))</f>
        <v>0.78400000000000003</v>
      </c>
      <c r="K20" s="3">
        <f>(H11+H14+H17)*J20</f>
        <v>2181.0723200000002</v>
      </c>
      <c r="L20" s="7">
        <f>K20*I20</f>
        <v>1090.5361600000001</v>
      </c>
    </row>
    <row r="21" spans="1:12" ht="14.25" thickBot="1" x14ac:dyDescent="0.3">
      <c r="A21" s="13"/>
      <c r="B21" s="3">
        <v>125</v>
      </c>
      <c r="C21" s="5">
        <f>A21*B21</f>
        <v>0</v>
      </c>
      <c r="D21" s="547" t="s">
        <v>32</v>
      </c>
      <c r="E21" s="547"/>
      <c r="F21" s="547"/>
      <c r="G21" s="547"/>
      <c r="H21" s="3">
        <f>SUM(H11,H14,H17)</f>
        <v>2781.98</v>
      </c>
      <c r="I21" s="6" t="s">
        <v>25</v>
      </c>
      <c r="J21" s="17">
        <f>IF(COUNTIF(K6,"*Younger*"),100%-18%-(J6*0.4%),IF(100%-18%+(J6*0.4%)&gt;100%,100%,100%-18%+(J6*0.4%)))</f>
        <v>0.78400000000000003</v>
      </c>
      <c r="K21" s="3">
        <f>(H11+H14)*J21</f>
        <v>1515.9267200000002</v>
      </c>
      <c r="L21" s="7">
        <f>K21*I20</f>
        <v>757.96336000000008</v>
      </c>
    </row>
    <row r="22" spans="1:12" ht="14.25" thickBot="1" x14ac:dyDescent="0.3">
      <c r="A22" s="24">
        <f>SUM(A20:A21)</f>
        <v>3</v>
      </c>
      <c r="B22" s="25" t="s">
        <v>11</v>
      </c>
      <c r="C22" s="26">
        <f>SUM(C20:C21)</f>
        <v>270</v>
      </c>
      <c r="D22" s="547" t="s">
        <v>25</v>
      </c>
      <c r="E22" s="547"/>
      <c r="F22" s="547"/>
      <c r="G22" s="547"/>
      <c r="H22" s="3">
        <f>SUM(H11,H14)</f>
        <v>1933.5800000000002</v>
      </c>
      <c r="I22" s="16">
        <v>0.75</v>
      </c>
      <c r="J22" s="17">
        <f>IF(COUNTIF(K6,"*Younger*"),100%-24%-(J6*0.4%),IF(100%-24%+(J6*0.4%)&gt;100%,100%,100%-24%+(J6*0.4%)))</f>
        <v>0.72399999999999998</v>
      </c>
      <c r="K22" s="3">
        <f>(H11+H14+H17)*J22</f>
        <v>2014.1535199999998</v>
      </c>
      <c r="L22" s="7">
        <f>K22*I22</f>
        <v>1510.6151399999999</v>
      </c>
    </row>
    <row r="23" spans="1:12" ht="15" customHeight="1" thickBot="1" x14ac:dyDescent="0.3">
      <c r="A23" s="572" t="s">
        <v>13</v>
      </c>
      <c r="B23" s="573"/>
      <c r="C23" s="574"/>
      <c r="D23" s="547"/>
      <c r="E23" s="547"/>
      <c r="F23" s="547"/>
      <c r="G23" s="547"/>
      <c r="I23" s="6" t="s">
        <v>25</v>
      </c>
      <c r="J23" s="17">
        <f>IF(COUNTIF(K6,"*Younger*"),100%-24%-(J6*0.4%),IF(100%-24%+(J6*0.4%)&gt;100%,100%,100%-24%+(J6*0.4%)))</f>
        <v>0.72399999999999998</v>
      </c>
      <c r="K23" s="3">
        <f>(H11+H14)*J23</f>
        <v>1399.91192</v>
      </c>
      <c r="L23" s="7">
        <f>K23*I22</f>
        <v>1049.9339399999999</v>
      </c>
    </row>
    <row r="24" spans="1:12" x14ac:dyDescent="0.25">
      <c r="A24" s="13">
        <v>8.08</v>
      </c>
      <c r="B24" s="3">
        <v>105</v>
      </c>
      <c r="C24" s="5">
        <f t="shared" ref="C24:C29" si="1">A24*B24</f>
        <v>848.4</v>
      </c>
      <c r="D24" s="547" t="s">
        <v>29</v>
      </c>
      <c r="E24" s="547"/>
      <c r="F24" s="547"/>
      <c r="G24" s="547"/>
      <c r="H24" s="3">
        <f>SUM(H13,H16,H19)</f>
        <v>2511.1185000000005</v>
      </c>
      <c r="I24" s="16">
        <v>1</v>
      </c>
      <c r="J24" s="17">
        <f>IF(COUNTIF(K6,"*Younger*"),100%-30%-(J6*0.5%),IF(100%-30%+(J6*0.5%)&gt;100%,100%,100%-30%+(J6*0.4%)))</f>
        <v>0.65499999999999992</v>
      </c>
      <c r="K24" s="3">
        <f>(H11+H14+H17)*J24</f>
        <v>1822.1968999999997</v>
      </c>
      <c r="L24" s="7">
        <f>K24*I24</f>
        <v>1822.1968999999997</v>
      </c>
    </row>
    <row r="25" spans="1:12" ht="14.25" thickBot="1" x14ac:dyDescent="0.3">
      <c r="A25" s="13"/>
      <c r="B25" s="3">
        <v>125</v>
      </c>
      <c r="C25" s="5">
        <f t="shared" si="1"/>
        <v>0</v>
      </c>
      <c r="D25" s="547" t="s">
        <v>25</v>
      </c>
      <c r="E25" s="547"/>
      <c r="F25" s="547"/>
      <c r="G25" s="547"/>
      <c r="H25" s="3">
        <f>SUM(H13,H16)</f>
        <v>1836.6405000000002</v>
      </c>
      <c r="I25" s="18" t="s">
        <v>25</v>
      </c>
      <c r="J25" s="22">
        <f>IF(COUNTIF(K6,"*Younger*"),100%-30%-(J6*0.5%),IF(100%-30%+(J6*0.5%)&gt;100%,100%,100%-30%+(J6*0.4%)))</f>
        <v>0.65499999999999992</v>
      </c>
      <c r="K25" s="8">
        <f>(H11+H14)*J24</f>
        <v>1266.4948999999999</v>
      </c>
      <c r="L25" s="9">
        <f>K25*I24</f>
        <v>1266.4948999999999</v>
      </c>
    </row>
    <row r="26" spans="1:12" ht="14.25" thickBot="1" x14ac:dyDescent="0.3">
      <c r="A26" s="13"/>
      <c r="B26" s="3">
        <v>135</v>
      </c>
      <c r="C26" s="5">
        <f t="shared" si="1"/>
        <v>0</v>
      </c>
    </row>
    <row r="27" spans="1:12" ht="14.25" thickBot="1" x14ac:dyDescent="0.3">
      <c r="A27" s="13"/>
      <c r="B27" s="32"/>
      <c r="C27" s="5">
        <f t="shared" si="1"/>
        <v>0</v>
      </c>
      <c r="D27" s="1" t="s">
        <v>86</v>
      </c>
      <c r="H27" s="3">
        <f>C31</f>
        <v>2781.98</v>
      </c>
      <c r="I27" s="540" t="s">
        <v>69</v>
      </c>
      <c r="J27" s="541"/>
      <c r="K27" s="541"/>
      <c r="L27" s="542"/>
    </row>
    <row r="28" spans="1:12" ht="15.75" customHeight="1" x14ac:dyDescent="0.25">
      <c r="A28" s="13"/>
      <c r="B28" s="32"/>
      <c r="C28" s="5">
        <f t="shared" si="1"/>
        <v>0</v>
      </c>
      <c r="D28" s="77" t="s">
        <v>64</v>
      </c>
      <c r="H28" s="1">
        <v>0</v>
      </c>
      <c r="I28" s="79" t="s">
        <v>23</v>
      </c>
      <c r="J28" s="80" t="s">
        <v>24</v>
      </c>
      <c r="K28" s="80" t="s">
        <v>26</v>
      </c>
      <c r="L28" s="81" t="s">
        <v>27</v>
      </c>
    </row>
    <row r="29" spans="1:12" ht="14.25" thickBot="1" x14ac:dyDescent="0.3">
      <c r="A29" s="13"/>
      <c r="B29" s="32"/>
      <c r="C29" s="5">
        <f t="shared" si="1"/>
        <v>0</v>
      </c>
      <c r="D29" s="77" t="s">
        <v>65</v>
      </c>
      <c r="H29" s="1">
        <v>0</v>
      </c>
      <c r="I29" s="16">
        <v>0.5</v>
      </c>
      <c r="J29" s="17">
        <f>IF(COUNTIF(K6,"*Younger*"),100%-8%-(J6*0.4%),IF(100%-8%+(J6*0.4%)&gt;100%,100%,100%-8%+(J6*0.4%)))</f>
        <v>0.88400000000000001</v>
      </c>
      <c r="K29" s="3">
        <f>(H11+H14+H17)*J29</f>
        <v>2459.2703200000001</v>
      </c>
      <c r="L29" s="7">
        <f>K29*I29</f>
        <v>1229.63516</v>
      </c>
    </row>
    <row r="30" spans="1:12" ht="14.25" thickBot="1" x14ac:dyDescent="0.3">
      <c r="A30" s="24">
        <f>SUM(A24:A29)</f>
        <v>8.08</v>
      </c>
      <c r="B30" s="23" t="s">
        <v>11</v>
      </c>
      <c r="C30" s="26">
        <f>SUM(C24:C29)</f>
        <v>848.4</v>
      </c>
      <c r="D30" s="77" t="s">
        <v>67</v>
      </c>
      <c r="H30" s="4">
        <f>SUM(H28*1%)+(H29*1.5%)</f>
        <v>0</v>
      </c>
      <c r="I30" s="6" t="s">
        <v>25</v>
      </c>
      <c r="J30" s="17">
        <f>IF(COUNTIF(K6,"*Younger*"),100%-8%-(J6*0.4%),IF(100%-8%+(J6*0.4%)&gt;100%,100%,100%-8%+(J6*0.4%)))</f>
        <v>0.88400000000000001</v>
      </c>
      <c r="K30" s="3">
        <f>(H11+H14)*J30</f>
        <v>1709.2847200000001</v>
      </c>
      <c r="L30" s="7">
        <f>K30*I29</f>
        <v>854.64236000000005</v>
      </c>
    </row>
    <row r="31" spans="1:12" ht="15.75" customHeight="1" thickBot="1" x14ac:dyDescent="0.3">
      <c r="A31" s="36">
        <f>SUM(A18,A22,A30)</f>
        <v>25.479999999999997</v>
      </c>
      <c r="B31" s="28" t="s">
        <v>81</v>
      </c>
      <c r="C31" s="26">
        <f>SUM(C18,C22,C30)</f>
        <v>2781.98</v>
      </c>
      <c r="D31" s="1" t="s">
        <v>82</v>
      </c>
      <c r="H31" s="3">
        <f>SUM(H11+H14+H17)*H30</f>
        <v>0</v>
      </c>
      <c r="I31" s="16">
        <v>0.75</v>
      </c>
      <c r="J31" s="17">
        <f>IF(COUNTIF(K6,"*Younger*"),100%-12%-(J6*0.4%),IF(100%-12%+(J6*0.4%)&gt;100%,100%,100%-12%+(J6*0.4%)))</f>
        <v>0.84399999999999997</v>
      </c>
      <c r="K31" s="3">
        <f>(H11+H14+H17)*J31</f>
        <v>2347.9911200000001</v>
      </c>
      <c r="L31" s="7">
        <f>K31*I31</f>
        <v>1760.99334</v>
      </c>
    </row>
    <row r="32" spans="1:12" ht="14.25" thickBot="1" x14ac:dyDescent="0.3">
      <c r="A32" s="561" t="s">
        <v>80</v>
      </c>
      <c r="B32" s="562"/>
      <c r="C32" s="563"/>
      <c r="D32" s="1" t="s">
        <v>83</v>
      </c>
      <c r="H32" s="3">
        <f>SUM(H11+H14)*H30</f>
        <v>0</v>
      </c>
      <c r="I32" s="6" t="s">
        <v>25</v>
      </c>
      <c r="J32" s="17">
        <f>IF(COUNTIF(K6,"*Younger*"),100%-12%-(J6*0.4%),IF(100%-12%+(J6*0.4%)&gt;100%,100%,100%-12%+(J6*0.4%)))</f>
        <v>0.84399999999999997</v>
      </c>
      <c r="K32" s="3">
        <f>(H11+H14)*J32</f>
        <v>1631.9415200000001</v>
      </c>
      <c r="L32" s="7">
        <f>K32*I31</f>
        <v>1223.95614</v>
      </c>
    </row>
    <row r="33" spans="1:12" ht="15.75" customHeight="1" x14ac:dyDescent="0.25">
      <c r="A33" s="89"/>
      <c r="B33" s="87">
        <v>105</v>
      </c>
      <c r="C33" s="88">
        <f t="shared" ref="C33:C38" si="2">(A33*B33)</f>
        <v>0</v>
      </c>
      <c r="D33" s="1" t="s">
        <v>84</v>
      </c>
      <c r="H33" s="3">
        <f>SUM(C31+H31)</f>
        <v>2781.98</v>
      </c>
      <c r="I33" s="16">
        <v>1</v>
      </c>
      <c r="J33" s="17">
        <f>IF(COUNTIF(K6,"*Younger*"),100%-15%-(J6*0.5%),IF(100%-15%+(J6*0.5%)&gt;100%,100%,100%-15%+(J6*0.4%)))</f>
        <v>0.80499999999999994</v>
      </c>
      <c r="K33" s="3">
        <f>(H11+H14+H17)*J33</f>
        <v>2239.4938999999999</v>
      </c>
      <c r="L33" s="7">
        <f>K33*I33</f>
        <v>2239.4938999999999</v>
      </c>
    </row>
    <row r="34" spans="1:12" ht="14.25" thickBot="1" x14ac:dyDescent="0.3">
      <c r="A34" s="13"/>
      <c r="B34" s="3">
        <v>125</v>
      </c>
      <c r="C34" s="5">
        <f t="shared" si="2"/>
        <v>0</v>
      </c>
      <c r="D34" s="1" t="s">
        <v>85</v>
      </c>
      <c r="H34" s="3">
        <f>SUM(C18+C22+H32)</f>
        <v>1933.5800000000002</v>
      </c>
      <c r="I34" s="18" t="s">
        <v>25</v>
      </c>
      <c r="J34" s="22">
        <f>IF(COUNTIF(K6,"*Younger*"),100%-15%-(J6*0.5%),IF(100%-15%+(J6*0.5%)&gt;100%,100%,100%-15%+(J6*0.4%)))</f>
        <v>0.80499999999999994</v>
      </c>
      <c r="K34" s="8">
        <f>(H11+H14)*J34</f>
        <v>1556.5319</v>
      </c>
      <c r="L34" s="9">
        <f>K34*I33</f>
        <v>1556.5319</v>
      </c>
    </row>
    <row r="35" spans="1:12" ht="14.25" thickBot="1" x14ac:dyDescent="0.3">
      <c r="A35" s="13"/>
      <c r="B35" s="3">
        <v>135</v>
      </c>
      <c r="C35" s="5">
        <f t="shared" si="2"/>
        <v>0</v>
      </c>
    </row>
    <row r="36" spans="1:12" ht="14.25" thickBot="1" x14ac:dyDescent="0.3">
      <c r="A36" s="13"/>
      <c r="B36" s="32"/>
      <c r="C36" s="5">
        <f t="shared" si="2"/>
        <v>0</v>
      </c>
      <c r="D36" s="1" t="s">
        <v>75</v>
      </c>
      <c r="H36" s="3">
        <f>H21</f>
        <v>2781.98</v>
      </c>
      <c r="I36" s="540" t="s">
        <v>70</v>
      </c>
      <c r="J36" s="541"/>
      <c r="K36" s="541"/>
      <c r="L36" s="542"/>
    </row>
    <row r="37" spans="1:12" x14ac:dyDescent="0.25">
      <c r="A37" s="13"/>
      <c r="B37" s="32"/>
      <c r="C37" s="5">
        <f t="shared" si="2"/>
        <v>0</v>
      </c>
      <c r="D37" s="1" t="s">
        <v>76</v>
      </c>
      <c r="H37" s="3">
        <f>H33</f>
        <v>2781.98</v>
      </c>
      <c r="I37" s="79" t="s">
        <v>23</v>
      </c>
      <c r="J37" s="80" t="s">
        <v>24</v>
      </c>
      <c r="K37" s="80" t="s">
        <v>26</v>
      </c>
      <c r="L37" s="81" t="s">
        <v>27</v>
      </c>
    </row>
    <row r="38" spans="1:12" ht="14.25" thickBot="1" x14ac:dyDescent="0.3">
      <c r="A38" s="90"/>
      <c r="B38" s="84"/>
      <c r="C38" s="85">
        <f t="shared" si="2"/>
        <v>0</v>
      </c>
      <c r="D38" s="1" t="s">
        <v>77</v>
      </c>
      <c r="G38" s="1" t="str">
        <f>IF(H36=H37,"No Difference",IF(H36&lt;H37,"Calculation 2","Calculation 1"))</f>
        <v>No Difference</v>
      </c>
      <c r="H38" s="3">
        <f>IF(H36=H37,H36,IF(H36&lt;H37,H37,H36))</f>
        <v>2781.98</v>
      </c>
      <c r="I38" s="16">
        <v>0.5</v>
      </c>
      <c r="J38" s="17">
        <f>IF(COUNTIF(K6,"*Younger*"),100%-8%-(J6*0.4%),IF(100%-8%+(J6*0.4%)&gt;100%,100%,100%-8%+(J6*0.4%)))</f>
        <v>0.88400000000000001</v>
      </c>
      <c r="K38" s="3">
        <f>H33*J38</f>
        <v>2459.2703200000001</v>
      </c>
      <c r="L38" s="7">
        <f>K38*I38</f>
        <v>1229.63516</v>
      </c>
    </row>
    <row r="39" spans="1:12" ht="14.25" thickBot="1" x14ac:dyDescent="0.3">
      <c r="A39" s="91">
        <f>SUM(A33:A38)</f>
        <v>0</v>
      </c>
      <c r="B39" s="86" t="s">
        <v>11</v>
      </c>
      <c r="C39" s="26">
        <f>SUM(C33:C38)</f>
        <v>0</v>
      </c>
      <c r="I39" s="6" t="s">
        <v>25</v>
      </c>
      <c r="J39" s="17">
        <f>IF(COUNTIF(K6,"*Younger*"),100%-8%-(J6*0.4%),IF(100%-8%+(J6*0.4%)&gt;100%,100%,100%-8%+(J6*0.4%)))</f>
        <v>0.88400000000000001</v>
      </c>
      <c r="K39" s="3">
        <f>H34*J39</f>
        <v>1709.2847200000001</v>
      </c>
      <c r="L39" s="7">
        <f>K39*I38</f>
        <v>854.64236000000005</v>
      </c>
    </row>
    <row r="40" spans="1:12" ht="14.25" thickBot="1" x14ac:dyDescent="0.3">
      <c r="A40" s="24">
        <f>SUM(A18,A22,A30,A39)</f>
        <v>25.479999999999997</v>
      </c>
      <c r="B40" s="28" t="s">
        <v>37</v>
      </c>
      <c r="C40" s="26">
        <f>SUM(C18,C22,C30,C39)</f>
        <v>2781.98</v>
      </c>
      <c r="I40" s="16">
        <v>0.75</v>
      </c>
      <c r="J40" s="17">
        <f>IF(COUNTIF(K6,"*Younger*"),100%-12%-(J6*0.4%),IF(100%-12%+(J6*0.4%)&gt;100%,100%,100%-12%+(J6*0.4%)))</f>
        <v>0.84399999999999997</v>
      </c>
      <c r="K40" s="3">
        <f>H33*J40</f>
        <v>2347.9911200000001</v>
      </c>
      <c r="L40" s="7">
        <f>K40*I40</f>
        <v>1760.99334</v>
      </c>
    </row>
    <row r="41" spans="1:12" x14ac:dyDescent="0.25">
      <c r="I41" s="6" t="s">
        <v>25</v>
      </c>
      <c r="J41" s="17">
        <f>IF(COUNTIF(K6,"*Younger*"),100%-12%-(J6*0.4%),IF(100%-12%+(J6*0.4%)&gt;100%,100%,100%-12%+(J6*0.4%)))</f>
        <v>0.84399999999999997</v>
      </c>
      <c r="K41" s="3">
        <f>H34*J41</f>
        <v>1631.9415200000001</v>
      </c>
      <c r="L41" s="7">
        <f>K41*I40</f>
        <v>1223.95614</v>
      </c>
    </row>
    <row r="42" spans="1:12" x14ac:dyDescent="0.25">
      <c r="I42" s="16">
        <v>1</v>
      </c>
      <c r="J42" s="17">
        <f>IF(COUNTIF(K6,"*Younger*"),100%-15%-(J6*0.5%),IF(100%-15%+(J6*0.5%)&gt;100%,100%,100%-15%+(J6*0.4%)))</f>
        <v>0.80499999999999994</v>
      </c>
      <c r="K42" s="3">
        <f>H33*J42</f>
        <v>2239.4938999999999</v>
      </c>
      <c r="L42" s="7">
        <f>K42*I42</f>
        <v>2239.4938999999999</v>
      </c>
    </row>
    <row r="43" spans="1:12" ht="14.25" thickBot="1" x14ac:dyDescent="0.3">
      <c r="A43" s="1" t="s">
        <v>30</v>
      </c>
      <c r="B43" s="78"/>
      <c r="C43" s="78"/>
      <c r="D43" s="78"/>
      <c r="E43" s="1" t="s">
        <v>31</v>
      </c>
      <c r="F43" s="19"/>
      <c r="G43" s="19"/>
      <c r="H43" s="19"/>
      <c r="I43" s="18" t="s">
        <v>25</v>
      </c>
      <c r="J43" s="22">
        <f>IF(COUNTIF(K6,"*Younger*"),100%-15%-(J6*0.5%),IF(100%-15%+(J6*0.5%)&gt;100%,100%,100%-15%+(J6*0.4%)))</f>
        <v>0.80499999999999994</v>
      </c>
      <c r="K43" s="8">
        <f>H34*J43</f>
        <v>1556.5319</v>
      </c>
      <c r="L43" s="9">
        <f>K43*I42</f>
        <v>1556.5319</v>
      </c>
    </row>
  </sheetData>
  <mergeCells count="33">
    <mergeCell ref="A4:B4"/>
    <mergeCell ref="A1:L1"/>
    <mergeCell ref="A2:B2"/>
    <mergeCell ref="C2:E2"/>
    <mergeCell ref="I2:J2"/>
    <mergeCell ref="A3:B3"/>
    <mergeCell ref="D13:G13"/>
    <mergeCell ref="A5:B5"/>
    <mergeCell ref="A6:B6"/>
    <mergeCell ref="C6:E6"/>
    <mergeCell ref="G6:I6"/>
    <mergeCell ref="A7:B7"/>
    <mergeCell ref="A8:B8"/>
    <mergeCell ref="A9:C9"/>
    <mergeCell ref="D9:H9"/>
    <mergeCell ref="I9:L9"/>
    <mergeCell ref="D10:G10"/>
    <mergeCell ref="D11:F11"/>
    <mergeCell ref="D14:F14"/>
    <mergeCell ref="D16:G16"/>
    <mergeCell ref="D17:F17"/>
    <mergeCell ref="I18:L18"/>
    <mergeCell ref="A19:C19"/>
    <mergeCell ref="D19:G19"/>
    <mergeCell ref="I27:L27"/>
    <mergeCell ref="A32:C32"/>
    <mergeCell ref="I36:L36"/>
    <mergeCell ref="D21:G21"/>
    <mergeCell ref="D22:G22"/>
    <mergeCell ref="A23:C23"/>
    <mergeCell ref="D23:G23"/>
    <mergeCell ref="D24:G24"/>
    <mergeCell ref="D25:G25"/>
  </mergeCells>
  <pageMargins left="0.7" right="0.7" top="0.75" bottom="0.75" header="0.3" footer="0.3"/>
  <pageSetup scale="82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9D09-0552-4F40-8656-DA6B66173B97}">
  <sheetPr>
    <pageSetUpPr fitToPage="1"/>
  </sheetPr>
  <dimension ref="A1:R51"/>
  <sheetViews>
    <sheetView zoomScaleNormal="100" workbookViewId="0">
      <selection activeCell="K55" sqref="K55"/>
    </sheetView>
  </sheetViews>
  <sheetFormatPr defaultColWidth="9.140625" defaultRowHeight="13.5" x14ac:dyDescent="0.25"/>
  <cols>
    <col min="1" max="1" width="11.28515625" style="1" bestFit="1" customWidth="1"/>
    <col min="2" max="2" width="11.28515625" style="1" customWidth="1"/>
    <col min="3" max="3" width="16" style="1" customWidth="1"/>
    <col min="4" max="4" width="9.42578125" style="1" customWidth="1"/>
    <col min="5" max="5" width="10.85546875" style="1" customWidth="1"/>
    <col min="6" max="6" width="13.28515625" style="1" customWidth="1"/>
    <col min="7" max="7" width="15.7109375" style="1" bestFit="1" customWidth="1"/>
    <col min="8" max="8" width="9.42578125" style="1" customWidth="1"/>
    <col min="9" max="9" width="11.140625" style="1" customWidth="1"/>
    <col min="10" max="10" width="10.7109375" style="1" customWidth="1"/>
    <col min="11" max="11" width="11.5703125" style="1" bestFit="1" customWidth="1"/>
    <col min="12" max="12" width="17.7109375" style="1" customWidth="1"/>
    <col min="13" max="13" width="12.7109375" style="1" bestFit="1" customWidth="1"/>
    <col min="14" max="14" width="10" style="1" customWidth="1"/>
    <col min="15" max="15" width="11.85546875" style="1" customWidth="1"/>
    <col min="16" max="16" width="12.85546875" style="1" customWidth="1"/>
    <col min="17" max="17" width="13.85546875" style="1" customWidth="1"/>
    <col min="18" max="18" width="13.140625" style="1" customWidth="1"/>
    <col min="19" max="19" width="15.85546875" style="1" customWidth="1"/>
    <col min="20" max="20" width="11.85546875" style="1" bestFit="1" customWidth="1"/>
    <col min="21" max="21" width="13.42578125" style="1" bestFit="1" customWidth="1"/>
    <col min="22" max="22" width="12.7109375" style="1" bestFit="1" customWidth="1"/>
    <col min="23" max="16384" width="9.140625" style="1"/>
  </cols>
  <sheetData>
    <row r="1" spans="1:18" x14ac:dyDescent="0.25">
      <c r="A1" s="531" t="s">
        <v>100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101"/>
      <c r="P1" s="101"/>
      <c r="Q1" s="101"/>
      <c r="R1" s="101"/>
    </row>
    <row r="2" spans="1:18" x14ac:dyDescent="0.25">
      <c r="A2" s="1" t="s">
        <v>1</v>
      </c>
      <c r="C2" s="98" t="s">
        <v>191</v>
      </c>
      <c r="E2" s="1" t="s">
        <v>0</v>
      </c>
      <c r="F2" s="666" t="s">
        <v>192</v>
      </c>
      <c r="G2" s="666"/>
      <c r="K2" s="78" t="s">
        <v>30</v>
      </c>
      <c r="L2" s="78"/>
      <c r="M2" s="554" t="s">
        <v>102</v>
      </c>
      <c r="N2" s="554"/>
    </row>
    <row r="3" spans="1:18" x14ac:dyDescent="0.25">
      <c r="A3" s="1" t="s">
        <v>6</v>
      </c>
      <c r="C3" s="14">
        <v>23214</v>
      </c>
      <c r="F3" s="119"/>
      <c r="H3" s="119"/>
    </row>
    <row r="4" spans="1:18" x14ac:dyDescent="0.25">
      <c r="A4" s="1" t="s">
        <v>2</v>
      </c>
      <c r="C4" s="20" t="str">
        <f>DATEDIF(C3,C5,"y")&amp;"/"&amp;(DATEDIF(C3,C5, "m") - (DATEDIF(C3,C5, "y") * 12))</f>
        <v>60/7</v>
      </c>
      <c r="F4" s="20"/>
      <c r="H4" s="20"/>
      <c r="K4" s="78" t="s">
        <v>92</v>
      </c>
      <c r="L4" s="78"/>
      <c r="M4" s="555">
        <f ca="1">TODAY()</f>
        <v>46164</v>
      </c>
      <c r="N4" s="555"/>
    </row>
    <row r="5" spans="1:18" x14ac:dyDescent="0.25">
      <c r="A5" s="1" t="s">
        <v>7</v>
      </c>
      <c r="C5" s="14">
        <v>45352</v>
      </c>
      <c r="F5" s="119"/>
      <c r="H5" s="119"/>
    </row>
    <row r="6" spans="1:18" x14ac:dyDescent="0.25">
      <c r="A6" s="1" t="s">
        <v>3</v>
      </c>
      <c r="C6" s="118" t="s">
        <v>190</v>
      </c>
      <c r="F6" s="2"/>
      <c r="H6" s="2"/>
      <c r="I6" s="2"/>
      <c r="J6" s="2"/>
      <c r="K6" s="78" t="s">
        <v>31</v>
      </c>
      <c r="L6" s="78"/>
      <c r="M6" s="78"/>
      <c r="N6" s="78"/>
    </row>
    <row r="7" spans="1:18" x14ac:dyDescent="0.25">
      <c r="A7" s="1" t="s">
        <v>5</v>
      </c>
      <c r="C7" s="14">
        <v>27877</v>
      </c>
    </row>
    <row r="8" spans="1:18" ht="14.65" customHeight="1" thickBot="1" x14ac:dyDescent="0.3">
      <c r="A8" s="19" t="s">
        <v>4</v>
      </c>
      <c r="B8" s="19"/>
      <c r="C8" s="20" t="str">
        <f>IF(COUNTIF(C7,""),"",DATEDIF(C7,C5,"y")&amp;"/"&amp;(DATEDIF(C7,C5,"m")-(DATEDIF(C7,C5,"y")*12)))</f>
        <v>47/10</v>
      </c>
      <c r="E8" s="539" t="str">
        <f>IF(C7=0,"","Spouse Age Difference from Member:")</f>
        <v>Spouse Age Difference from Member:</v>
      </c>
      <c r="F8" s="539"/>
      <c r="G8" s="539"/>
      <c r="H8" s="12">
        <f>IF(C7=0,"",IF(AND(C3-C7&lt;0,(DATEDIF(C3,C5,"m")-(DATEDIF(C3,C5,"y")*12))-(DATEDIF(C7,C5,"m")-(DATEDIF(C7,C5,"y")*12))=0),DATEDIF(C3,C5,"y")-DATEDIF(C7,C5,"y"),IF(AND(C3-C7&gt;0,(DATEDIF(C7,C5,"m")-(DATEDIF(C7,C5,"y")*12))-(DATEDIF(C3,C5,"m")-(DATEDIF(C3,C5,"y")*12))=0),DATEDIF(C7,C5,"y")-DATEDIF(C3,C5,"y"),IF(C3-C7&lt;0,ROUNDDOWN(YEARFRAC(C3,C7),0),IF(C3-C7&gt;0,ROUNDDOWN(YEARFRAC(C7,C3),0),0)))))</f>
        <v>12</v>
      </c>
      <c r="I8" s="1" t="str">
        <f>IF(C7=0,"",IF(H8=0,"No Difference.",IF(C3-C7&lt;0,"Year(s) Younger.", IF(C3-C7&gt;0, "Year(s) Older.","No Difference."))))</f>
        <v>Year(s) Younger.</v>
      </c>
      <c r="K8" s="78" t="s">
        <v>92</v>
      </c>
      <c r="L8" s="78"/>
      <c r="M8" s="78"/>
      <c r="N8" s="78"/>
    </row>
    <row r="9" spans="1:18" ht="15.75" customHeight="1" thickBot="1" x14ac:dyDescent="0.3">
      <c r="A9" s="561" t="s">
        <v>8</v>
      </c>
      <c r="B9" s="562"/>
      <c r="C9" s="562"/>
      <c r="D9" s="562"/>
      <c r="E9" s="562"/>
      <c r="F9" s="562"/>
      <c r="G9" s="562"/>
      <c r="H9" s="562"/>
      <c r="I9" s="563"/>
      <c r="J9" s="540" t="s">
        <v>185</v>
      </c>
      <c r="K9" s="541"/>
      <c r="L9" s="541"/>
      <c r="M9" s="541"/>
      <c r="N9" s="542"/>
    </row>
    <row r="10" spans="1:18" ht="30.6" customHeight="1" thickBot="1" x14ac:dyDescent="0.3">
      <c r="A10" s="123" t="s">
        <v>103</v>
      </c>
      <c r="B10" s="124" t="str">
        <f>IF(COUNTIF(A32,"1.*"),"During AP 1 Marriage","")</f>
        <v/>
      </c>
      <c r="C10" s="124" t="str">
        <f>IF(COUNTIF(A32,"1.*"),"AP 1 Credits","")</f>
        <v/>
      </c>
      <c r="D10" s="124" t="str">
        <f>IF(COUNTIF(E32,"1.*"),"During AP 2 Marriage","")</f>
        <v/>
      </c>
      <c r="E10" s="124" t="str">
        <f>IF(COUNTIF(E32,"1.*"),"AP 2 Credits","")</f>
        <v/>
      </c>
      <c r="F10" s="124" t="s">
        <v>9</v>
      </c>
      <c r="G10" s="124" t="s">
        <v>182</v>
      </c>
      <c r="H10" s="124" t="str">
        <f>IF(COUNTIF(A32,"1.*"),"AP 1 Value","")</f>
        <v/>
      </c>
      <c r="I10" s="125" t="str">
        <f>IF(COUNTIF(E32,"1.*"),"AP 2 Value","")</f>
        <v/>
      </c>
      <c r="J10" s="541" t="s">
        <v>14</v>
      </c>
      <c r="K10" s="541"/>
      <c r="L10" s="541"/>
      <c r="M10" s="541"/>
      <c r="N10" s="541"/>
    </row>
    <row r="11" spans="1:18" x14ac:dyDescent="0.25">
      <c r="A11" s="130"/>
      <c r="B11" s="144"/>
      <c r="C11" s="136" t="str">
        <f>IF(COUNTIF(A32,"1.*"),B11*D37,"")</f>
        <v/>
      </c>
      <c r="D11" s="150"/>
      <c r="E11" s="136" t="str">
        <f>IF(COUNTIF(E32,"1.*"),D11*H37,"")</f>
        <v/>
      </c>
      <c r="F11" s="128"/>
      <c r="G11" s="126">
        <f>IF(AND(COUNTIF(A32,"1.*"),COUNTIF(E32,"1.*")),SUM(A11*F11)-((C11*F11)+(E11*F11)),IF(COUNTIF(A32,"1.*"),SUM(A11*F11)-(C11*F11),IF(COUNTIF(E32,"1.*"),SUM(A11*F11)-(E11*F11),A11*F11)))</f>
        <v>0</v>
      </c>
      <c r="H11" s="31" t="str">
        <f>IF(COUNTIF(A32,"1.*"),SUM(C11*F11),"")</f>
        <v/>
      </c>
      <c r="I11" s="133" t="str">
        <f>IF(COUNTIF(E32,"1.*"),SUM(E11*F11),"")</f>
        <v/>
      </c>
      <c r="J11" s="2" t="s">
        <v>184</v>
      </c>
      <c r="K11" s="2"/>
      <c r="L11" s="2"/>
      <c r="M11" s="21">
        <f>SUM(A11:A17)</f>
        <v>7.07</v>
      </c>
      <c r="N11" s="3">
        <f>SUM(A11*F11,A12*F12,A13*F13,A14*F14,A15*F15,A16*F16,A17*F17)</f>
        <v>811.6400000000001</v>
      </c>
    </row>
    <row r="12" spans="1:18" x14ac:dyDescent="0.25">
      <c r="A12" s="131"/>
      <c r="B12" s="145"/>
      <c r="C12" s="137" t="str">
        <f>IF(COUNTIF(A32,"1.*"),B12*D37,"")</f>
        <v/>
      </c>
      <c r="D12" s="151"/>
      <c r="E12" s="137" t="str">
        <f>IF(COUNTIF(E32,"1.*"),D12*H37,"")</f>
        <v/>
      </c>
      <c r="F12" s="129"/>
      <c r="G12" s="126">
        <f>IF(AND(COUNTIF(A32,"1.*"),COUNTIF(E32,"1.*")),SUM(A12*F12)-((C12*F12)+(E12*F12)),IF(COUNTIF(A32,"1.*"),SUM(A12*F12)-(C12*F12),IF(COUNTIF(E32,"1.*"),SUM(A12*F12)-(E12*F12),A12*F12)))</f>
        <v>0</v>
      </c>
      <c r="H12" s="31" t="str">
        <f>IF(COUNTIF(A32,"1.*"),SUM(C12*F12),"")</f>
        <v/>
      </c>
      <c r="I12" s="126" t="str">
        <f>IF(COUNTIF(E32,"1.*"),SUM(E12*F12),"")</f>
        <v/>
      </c>
      <c r="J12" s="1" t="str">
        <f>IF(COUNTIF(J9,"2.*"),"","Full Benefit from 09/01/2011 to 09/30/2014:")</f>
        <v>Full Benefit from 09/01/2011 to 09/30/2014:</v>
      </c>
      <c r="M12" s="21">
        <f>IF(COUNTIF(J9,"2.*"),"",SUM(A20:A21))</f>
        <v>0.08</v>
      </c>
      <c r="N12" s="3">
        <f>IF(COUNTIF(J9,"2.*"),"",SUM(A20*F20,A21*F21))</f>
        <v>7.2</v>
      </c>
    </row>
    <row r="13" spans="1:18" x14ac:dyDescent="0.25">
      <c r="A13" s="131"/>
      <c r="B13" s="145"/>
      <c r="C13" s="137" t="str">
        <f>IF(COUNTIF(A32,"1.*"),B13*D37,"")</f>
        <v/>
      </c>
      <c r="D13" s="151"/>
      <c r="E13" s="137" t="str">
        <f>IF(COUNTIF(E32,"1.*"),D13*H37,"")</f>
        <v/>
      </c>
      <c r="F13" s="129"/>
      <c r="G13" s="126">
        <f>IF(AND(COUNTIF(A32,"1.*"),COUNTIF(E32,"1.*")),SUM(A13*F13)-((C13*F13)+(E13*F13)),IF(COUNTIF(A32,"1.*"),SUM(A13*F13)-(C13*F13),IF(COUNTIF(E32,"1.*"),SUM(A13*F13)-(E13*F13),A13*F13)))</f>
        <v>0</v>
      </c>
      <c r="H13" s="31" t="str">
        <f>IF(COUNTIF(A32,"1.*"),SUM(C13*F13),"")</f>
        <v/>
      </c>
      <c r="I13" s="126" t="str">
        <f>IF(COUNTIF(E32,"1.*"),SUM(E13*F13),"")</f>
        <v/>
      </c>
      <c r="J13" s="2" t="str">
        <f>IF(COUNTIF(J9,"2.*"),"","Full Benefit on and After 10/01/2014:")</f>
        <v>Full Benefit on and After 10/01/2014:</v>
      </c>
      <c r="K13" s="2"/>
      <c r="L13" s="2"/>
      <c r="M13" s="21">
        <f>IF(COUNTIF(J9,"2.*"),"",SUM(A24:A29))</f>
        <v>3.5</v>
      </c>
      <c r="N13" s="3">
        <f>IF(COUNTIF(J9,"2.*"),"",SUM(A24*F24,A25*F25,A26*F26,A27*F27,A28*F28,A29*F29))</f>
        <v>367.5</v>
      </c>
    </row>
    <row r="14" spans="1:18" x14ac:dyDescent="0.25">
      <c r="A14" s="131"/>
      <c r="B14" s="145"/>
      <c r="C14" s="137" t="str">
        <f>IF(COUNTIF(A32,"1.*"),B14*D37,"")</f>
        <v/>
      </c>
      <c r="D14" s="151"/>
      <c r="E14" s="137" t="str">
        <f>IF(COUNTIF(E32,"1.*"),D14*H37,"")</f>
        <v/>
      </c>
      <c r="F14" s="126">
        <v>50</v>
      </c>
      <c r="G14" s="126">
        <f>IF(AND(COUNTIF(A32,"1.*"),COUNTIF(E32,"1.*")),SUM(A14*F14)-((C14*F14)+(E14*F14)),IF(COUNTIF(A32,"1.*"),SUM(A14*F14)-(C14*F14),IF(COUNTIF(E32,"1.*"),SUM(A14*F14)-(E14*F14),A14*F14)))</f>
        <v>0</v>
      </c>
      <c r="H14" s="31" t="str">
        <f>IF(COUNTIF(A32,"1.*"),SUM(C14*F14),"")</f>
        <v/>
      </c>
      <c r="I14" s="126" t="str">
        <f>IF(COUNTIF(E32,"1.*"),SUM(E14*F14),"")</f>
        <v/>
      </c>
      <c r="J14" s="1" t="s">
        <v>183</v>
      </c>
      <c r="M14" s="21">
        <f>SUM(A11:A17,A20:A21,A24:A29)</f>
        <v>10.65</v>
      </c>
      <c r="N14" s="3">
        <f>SUM(N11:N13)</f>
        <v>1186.3400000000001</v>
      </c>
    </row>
    <row r="15" spans="1:18" x14ac:dyDescent="0.25">
      <c r="A15" s="131">
        <f>SUM('Pro-Rata Worksheet'!B35:B64)</f>
        <v>5.33</v>
      </c>
      <c r="B15" s="145"/>
      <c r="C15" s="137" t="str">
        <f>IF(COUNTIF(A32,"1.*"),B15*D37,"")</f>
        <v/>
      </c>
      <c r="D15" s="151">
        <v>2.17</v>
      </c>
      <c r="E15" s="137" t="str">
        <f>IF(COUNTIF(E32,"1.*"),D15*H37,"")</f>
        <v/>
      </c>
      <c r="F15" s="126">
        <v>118</v>
      </c>
      <c r="G15" s="126">
        <f>IF(AND(COUNTIF(A32,"1.*"),COUNTIF(E32,"1.*")),SUM(A15*F15)-((C15*F15)+(E15*F15)),IF(COUNTIF(A32,"1.*"),SUM(A15*F15)-(C15*F15),IF(COUNTIF(E32,"1.*"),SUM(A15*F15)-(E15*F15),A15*F15)))</f>
        <v>628.94000000000005</v>
      </c>
      <c r="H15" s="31" t="str">
        <f>IF(COUNTIF(A32,"1.*"),SUM(C15*F15),"")</f>
        <v/>
      </c>
      <c r="I15" s="126" t="str">
        <f>IF(COUNTIF(E32,"1.*"),SUM(E15*F15),"")</f>
        <v/>
      </c>
      <c r="K15" s="2"/>
    </row>
    <row r="16" spans="1:18" x14ac:dyDescent="0.25">
      <c r="A16" s="131">
        <f>SUM('Pro-Rata Worksheet'!B31:B34)</f>
        <v>1.7399999999999998</v>
      </c>
      <c r="B16" s="145"/>
      <c r="C16" s="137" t="str">
        <f>IF(COUNTIF(A32,"1.*"),B16*D37,"")</f>
        <v/>
      </c>
      <c r="D16" s="151"/>
      <c r="E16" s="137" t="str">
        <f>IF(COUNTIF(E32,"1.*"),D16*H37,"")</f>
        <v/>
      </c>
      <c r="F16" s="126">
        <v>105</v>
      </c>
      <c r="G16" s="126">
        <f>IF(AND(COUNTIF(A33,"1.*"),COUNTIF(E33,"1.*")),SUM(A16*F16)-((C16*F16)+(E16*F16)),IF(COUNTIF(A33,"1.*"),SUM(A16*F16)-(C16*F16),IF(COUNTIF(E33,"1.*"),SUM(A16*F16)-(E16*F16),A16*F16)))</f>
        <v>182.7</v>
      </c>
      <c r="H16" s="31" t="str">
        <f>IF(COUNTIF(A32,"1.*"),SUM(C16*F16),"")</f>
        <v/>
      </c>
      <c r="I16" s="126" t="str">
        <f>IF(COUNTIF(E32,"1.*"),SUM(E16*F16),"")</f>
        <v/>
      </c>
      <c r="J16" s="1" t="str">
        <f>IF(COUNTIF(A32,"_"),"","Alternate Payee 1 Award:")</f>
        <v/>
      </c>
      <c r="N16" s="3" t="str">
        <f>IF(COUNTIF(A32,"_"),"",IF(COUNTIF(A32,"1.*"),ROUND(H18+H22+H30,2),IF(COUNTIF(A32,"3.*"),D38,IF(OR(COUNTIF(A32,"2.*"),COUNTIF(A32,"4.*")),IF(COUNTIF(J9,"2.*"),D41,ROUND((D41+D44+D47),2))))))</f>
        <v/>
      </c>
    </row>
    <row r="17" spans="1:14" ht="14.25" thickBot="1" x14ac:dyDescent="0.3">
      <c r="A17" s="132"/>
      <c r="B17" s="146"/>
      <c r="C17" s="138" t="str">
        <f>IF(COUNTIF(A32,"1.*"),B17*D37,"")</f>
        <v/>
      </c>
      <c r="D17" s="152"/>
      <c r="E17" s="137" t="str">
        <f>IF(COUNTIF(E32,"1.*"),D17*H37,"")</f>
        <v/>
      </c>
      <c r="F17" s="127">
        <v>125</v>
      </c>
      <c r="G17" s="126">
        <f>IF(AND(COUNTIF(A34,"1.*"),COUNTIF(E34,"1.*")),SUM(A17*F17)-((C17*F17)+(E17*F17)),IF(COUNTIF(A34,"1.*"),SUM(A17*F17)-(C17*F17),IF(COUNTIF(E34,"1.*"),SUM(A17*F17)-(E17*F17),A17*F17)))</f>
        <v>0</v>
      </c>
      <c r="H17" s="31" t="str">
        <f>IF(COUNTIF(A32,"1.*"),SUM(C17*F17),"")</f>
        <v/>
      </c>
      <c r="I17" s="127" t="str">
        <f>IF(COUNTIF(E32,"1.*"),SUM(E17*F17),"")</f>
        <v/>
      </c>
      <c r="J17" s="1" t="str">
        <f>IF(COUNTIF(A32,"_"),"","Alternate Payee 1 13th Check:")</f>
        <v/>
      </c>
      <c r="N17" s="3" t="str">
        <f>IF(COUNTIF(A32,"_"),"",IF(COUNTIF(A32,"1.*"),ROUND(H18+H22,2),IF(COUNTIF(A32,"3.*"),D39,IF(OR(COUNTIF(A32,"2.*"),COUNTIF(A32,"4.*")),IF(COUNTIF(J9,"2.*"),D41,ROUND((D41+D44),2))))))</f>
        <v/>
      </c>
    </row>
    <row r="18" spans="1:14" ht="14.25" thickBot="1" x14ac:dyDescent="0.3">
      <c r="A18" s="120">
        <f>SUM(A11:A17)</f>
        <v>7.07</v>
      </c>
      <c r="B18" s="120" t="str">
        <f>IF(COUNTIF(A32,"1.*"),SUM(B11:B17),"")</f>
        <v/>
      </c>
      <c r="C18" s="120" t="str">
        <f>IF(COUNTIF(A32,"1.*"),SUM(C11:C17),"")</f>
        <v/>
      </c>
      <c r="D18" s="120" t="str">
        <f>IF(COUNTIF(E32,"1.*"),SUM(D11:D17),"")</f>
        <v/>
      </c>
      <c r="E18" s="120" t="str">
        <f>IF(COUNTIF(E32,"1.*"),SUM(E11:E17),"")</f>
        <v/>
      </c>
      <c r="F18" s="121" t="s">
        <v>11</v>
      </c>
      <c r="G18" s="88">
        <f>SUM(G11:G17)</f>
        <v>811.6400000000001</v>
      </c>
      <c r="H18" s="88" t="str">
        <f>IF(COUNTIF(A32,"1.*"),SUM(H11:H17),"")</f>
        <v/>
      </c>
      <c r="I18" s="135" t="str">
        <f>IF(COUNTIF(E32,"1.*"),SUM(I11:I17),"")</f>
        <v/>
      </c>
      <c r="J18" s="1" t="str">
        <f>IF(COUNTIF(E32,"_"),"","Alternate Payee 2 Award:")</f>
        <v/>
      </c>
      <c r="N18" s="3" t="str">
        <f>IF(COUNTIF(E32,"_"),"",IF(COUNTIF(E32,"1.*"),ROUND(I18+I22+I30,2),IF(COUNTIF(E32,"3.*"),H38,IF(OR(COUNTIF(E32,"2.*"),COUNTIF(E32,"4.*")),IF(COUNTIF(J9,"2.*"),H41,ROUND((H41+H44+H47),2))))))</f>
        <v/>
      </c>
    </row>
    <row r="19" spans="1:14" ht="15.75" customHeight="1" thickBot="1" x14ac:dyDescent="0.3">
      <c r="A19" s="572" t="s">
        <v>12</v>
      </c>
      <c r="B19" s="573"/>
      <c r="C19" s="573"/>
      <c r="D19" s="573"/>
      <c r="E19" s="573"/>
      <c r="F19" s="573"/>
      <c r="G19" s="573"/>
      <c r="H19" s="573"/>
      <c r="I19" s="574"/>
      <c r="J19" s="1" t="str">
        <f>IF(COUNTIF(E32,"_"),"","Alternate Payee 2 13th Check:")</f>
        <v/>
      </c>
      <c r="N19" s="3" t="str">
        <f>IF(COUNTIF(E32,"_"),"",IF(COUNTIF(E32,"1.*"),ROUND(I18+I22,2),IF(COUNTIF(E32,"3.*"),H39,IF(OR(COUNTIF(E32,"2.*"),COUNTIF(E32,"4.*")),ROUND((H41+H44),2)))))</f>
        <v/>
      </c>
    </row>
    <row r="20" spans="1:14" x14ac:dyDescent="0.25">
      <c r="A20" s="130">
        <f>SUM('Pro-Rata Worksheet'!B27:B30)</f>
        <v>0.08</v>
      </c>
      <c r="B20" s="144"/>
      <c r="C20" s="136" t="str">
        <f>IF(COUNTIF(A32,"1.*"),B20*D37,"")</f>
        <v/>
      </c>
      <c r="D20" s="150"/>
      <c r="E20" s="137" t="str">
        <f>IF(COUNTIF(E32,"1.*"),D20*H37,"")</f>
        <v/>
      </c>
      <c r="F20" s="133">
        <v>90</v>
      </c>
      <c r="G20" s="126">
        <f>IF(AND(COUNTIF(A32,"1.*"),COUNTIF(E32,"1.*")),SUM(A20*F20)-((C20*F20)+(E20*F20)),IF(COUNTIF(A32,"1.*"),SUM(A20*F20)-(C20*F20),IF(COUNTIF(E32,"1.*"),SUM(A20*F20)-(E20*F20),A20*F20)))</f>
        <v>7.2</v>
      </c>
      <c r="H20" s="31" t="str">
        <f>IF(COUNTIF(A32,"1.*"),SUM(C20*F20),"")</f>
        <v/>
      </c>
      <c r="I20" s="126" t="str">
        <f>IF(COUNTIF(E32,"1.*"),SUM(E20*F20),"")</f>
        <v/>
      </c>
      <c r="K20" s="2"/>
    </row>
    <row r="21" spans="1:14" ht="14.25" thickBot="1" x14ac:dyDescent="0.3">
      <c r="A21" s="132"/>
      <c r="B21" s="146"/>
      <c r="C21" s="138" t="str">
        <f>IF(COUNTIF(A32,"1.*"),B21*D37,"")</f>
        <v/>
      </c>
      <c r="D21" s="152"/>
      <c r="E21" s="137" t="str">
        <f>IF(COUNTIF(E32,"1.*"),D21*H37,"")</f>
        <v/>
      </c>
      <c r="F21" s="127">
        <v>125</v>
      </c>
      <c r="G21" s="126">
        <f>IF(AND(COUNTIF(A32,"1.*"),COUNTIF(E32,"1.*")),SUM(A21*F21)-((C21*F21)+(E21*F21)),IF(COUNTIF(A32,"1.*"),SUM(A21*F21)-(C21*F21),IF(COUNTIF(E32,"1.*"),SUM(A21*F21)-(E21*F21),A21*F21)))</f>
        <v>0</v>
      </c>
      <c r="H21" s="31" t="str">
        <f>IF(COUNTIF(A32,"1.*"),SUM(C21*F21),"")</f>
        <v/>
      </c>
      <c r="I21" s="126" t="str">
        <f>IF(COUNTIF(E32,"1.*"),SUM(E21*F21),"")</f>
        <v/>
      </c>
      <c r="J21" s="2" t="s">
        <v>187</v>
      </c>
      <c r="K21" s="2"/>
      <c r="L21" s="2"/>
      <c r="M21" s="21">
        <f>SUM(A11:A17)</f>
        <v>7.07</v>
      </c>
      <c r="N21" s="3">
        <f>IF(AND(COUNTIF(A32,"1.*"),COUNTIF(E32,"1.*")),N11-(H18+I18),IF(AND(COUNTIF(A32,"1.*"),COUNTIF(E32,"2.*")),N11-(H18+(N11*H40)),IF(AND(COUNTIF(A32,"1.*"),COUNTIF(E32,"3.*")),N11-H18,IF(AND(COUNTIF(A32,"1.*"),COUNTIF(E32,"4.*")),N11-(H18+(N11*H40)),IF(AND(COUNTIF(A32,"2.*"),COUNTIF(E32,"1.*")),N11-((N11*D40)+I18),IF(AND(COUNTIF(A32,"2.*"),COUNTIF(E32,"2.*")),N11-((N11*D40)+(N11*H40)),IF(AND(COUNTIF(A32,"2.*"),COUNTIF(E32,"3.*")),N11-(N11*D40),IF(AND(COUNTIF(A32,"2.*"),COUNTIF(E32,"4.*")),N11-((N11*D40)+(N11*H40)),IF(AND(COUNTIF(A32,"3.*"),COUNTIF(E32,"1.*")),N11-I18,IF(AND(COUNTIF(A32,"3.*"),COUNTIF(E32,"2.*")),N11-(N11*H40),IF(AND(COUNTIF(A32,"3.*"),COUNTIF(E32,"3.*")),N11,IF(AND(COUNTIF(A32,"3.*"),COUNTIF(E32,"4.*")),N11-(N11*H40),IF(AND(COUNTIF(A32,"4.*"),COUNTIF(E32,"1.*")),N11-((N11*D40)+I18),IF(AND(COUNTIF(A32,"4.*"),COUNTIF(E32,"2.*")),N11-((N11*D40)+(N11*H40)),IF(AND(COUNTIF(A32,"4.*"),COUNTIF(E32,"3.*")),N11-(N11*D40),IF(AND(COUNTIF(A32,"4.*"),COUNTIF(E32,"4.*")),N11-((N11*D40)+(N11*H40)),IF(COUNTIF(A32,"1.*"),N11-H18,IF(OR(COUNTIF(A32,"2.*"),COUNTIF(A32,"4.*")),N11-(N11*D40),IF(COUNTIF(E32,"1.*"),N11-I18,IF(OR(COUNTIF(E32,"2.*"),COUNTIF(E32,"4.*")),N11-(N11*H40),SUM(A11*F11,A12*F12,A13*F13,A14*F14,A15*F15,A16*F16,A17*F17)))))))))))))))))))))</f>
        <v>811.6400000000001</v>
      </c>
    </row>
    <row r="22" spans="1:14" ht="14.25" thickBot="1" x14ac:dyDescent="0.3">
      <c r="A22" s="120">
        <f>SUM(A20:A21)</f>
        <v>0.08</v>
      </c>
      <c r="B22" s="120" t="str">
        <f>IF(COUNTIF(A32,"1.*"),SUM(B20:B21),"")</f>
        <v/>
      </c>
      <c r="C22" s="91" t="str">
        <f>IF(COUNTIF(A32,"1.*"),SUM(C20:C21),"")</f>
        <v/>
      </c>
      <c r="D22" s="120" t="str">
        <f>IF(COUNTIF(E32,"1.*"),SUM(D20:D21),"")</f>
        <v/>
      </c>
      <c r="E22" s="120" t="str">
        <f>IF(COUNTIF(E32,"1.*"),SUM(E20:E21),"")</f>
        <v/>
      </c>
      <c r="F22" s="121" t="s">
        <v>11</v>
      </c>
      <c r="G22" s="88">
        <f>SUM(G20:G21)</f>
        <v>7.2</v>
      </c>
      <c r="H22" s="88" t="str">
        <f>IF(COUNTIF(A32,"1.*"),SUM(H20:H21),"")</f>
        <v/>
      </c>
      <c r="I22" s="88" t="str">
        <f>IF(COUNTIF(E32,"1.*"),SUM(I20:I21),"")</f>
        <v/>
      </c>
      <c r="J22" s="1" t="str">
        <f>IF(COUNTIF(J9,"1.*"),"ER Factor","")</f>
        <v>ER Factor</v>
      </c>
      <c r="N22" s="4">
        <f>IF(COUNTIF(J9,"1.*"),IF(DATEDIF(C3,C5,"m")&lt;=600,(DATEDIF(C3,C5,"m")-540)*0.1%+40%,IF(DATEDIF(C3,C5,"m")&lt;=660,(DATEDIF(C3,C5,"m")-600)*0.2%+46%,IF((DATEDIF(C3,C5,"m")-660)*0.5%+58%&gt;=100%,100%,(DATEDIF(C3,C5,"m")-660)*0.5%+58%))),"")</f>
        <v>0.91500000000000004</v>
      </c>
    </row>
    <row r="23" spans="1:14" ht="15" customHeight="1" thickBot="1" x14ac:dyDescent="0.3">
      <c r="A23" s="572" t="s">
        <v>13</v>
      </c>
      <c r="B23" s="573"/>
      <c r="C23" s="573"/>
      <c r="D23" s="573"/>
      <c r="E23" s="573"/>
      <c r="F23" s="573"/>
      <c r="G23" s="573"/>
      <c r="H23" s="573"/>
      <c r="I23" s="574"/>
      <c r="J23" s="1" t="str">
        <f>IF(COUNTIF(J9,"1.*"),"ER Benefit Prior to 09/01/2011","")</f>
        <v>ER Benefit Prior to 09/01/2011</v>
      </c>
      <c r="N23" s="3">
        <f>IF(COUNTIF(J9,"1.*"),(N21*N22),"")</f>
        <v>742.65060000000017</v>
      </c>
    </row>
    <row r="24" spans="1:14" x14ac:dyDescent="0.25">
      <c r="A24" s="130">
        <f>SUM('Pro-Rata Worksheet'!B6:B26)</f>
        <v>3.5</v>
      </c>
      <c r="B24" s="144"/>
      <c r="C24" s="136" t="str">
        <f>IF(COUNTIF(A32,"1.*"),B24*D37,"")</f>
        <v/>
      </c>
      <c r="D24" s="153"/>
      <c r="E24" s="137" t="str">
        <f>IF(COUNTIF(E32,"1.*"),D24*H37,"")</f>
        <v/>
      </c>
      <c r="F24" s="133">
        <v>105</v>
      </c>
      <c r="G24" s="126">
        <f>IF(AND(COUNTIF(A32,"1.*"),COUNTIF(E32,"1.*")),SUM(A24*F24)-((C24*F24))+(E24*F24),IF(COUNTIF(A32,"1.*"),SUM(A24*F24)-(C24*F24),IF(COUNTIF(E32,"1.*"),SUM(A24*F24)-(E24*F24),A24*F24)))</f>
        <v>367.5</v>
      </c>
      <c r="H24" s="31" t="str">
        <f>IF(COUNTIF(A32,"1.*"),SUM(C24*F24),"")</f>
        <v/>
      </c>
      <c r="I24" s="126" t="str">
        <f>IF(COUNTIF(E32,"1.*"),SUM(D24*F24),"")</f>
        <v/>
      </c>
      <c r="J24" s="1" t="str">
        <f>IF(COUNTIF(J9,"2.*"),"","Member Benefit from 09/01/2011 to 09/30/2014:")</f>
        <v>Member Benefit from 09/01/2011 to 09/30/2014:</v>
      </c>
      <c r="M24" s="1">
        <f>IF(COUNTIF(J9,"2.*"),"",SUM(A20:A21))</f>
        <v>0.08</v>
      </c>
      <c r="N24" s="3">
        <f>IF(COUNTIF(J9,"2.*"),"",IF(AND(COUNTIF(A32,"1.*"),COUNTIF(E32,"1.*")),N12-(H22+I22),IF(AND(COUNTIF(A32,"1.*"),COUNTIF(E32,"2.*")),N12-(H22+(N12*H40)),IF(AND(COUNTIF(A32,"1.*"),COUNTIF(E32,"3.*")),N12-H22,IF(AND(COUNTIF(A32,"1.*"),COUNTIF(E32,"4.*")),N12-(H22+(N12*H40)),IF(AND(COUNTIF(A32,"2.*"),COUNTIF(E32,"1.*")),N12-((N12*D40)+I22),IF(AND(COUNTIF(A32,"2.*"),COUNTIF(E32,"2.*")),N12-((N12*D40)+(N12*H40)),IF(AND(COUNTIF(A32,"2.*"),COUNTIF(E32,"3.*")),N12-(N12*D40),IF(AND(COUNTIF(A32,"2.*"),COUNTIF(E32,"4.*")),N12-((N12*D40)+(N12*H40)),IF(AND(COUNTIF(A32,"3.*"),COUNTIF(E32,"1.*")),N12-I22,IF(AND(COUNTIF(A32,"3.*"),COUNTIF(E32,"2.*")),N12-(N12*H40),IF(AND(COUNTIF(A32,"3.*"),COUNTIF(E32,"3.*")),N12,IF(AND(COUNTIF(A32,"3.*"),COUNTIF(E32,"4.*")),N12-(N12*H40),IF(AND(COUNTIF(A32,"4.*"),COUNTIF(E32,"1.*")),N12-((N12*D40)+I22),IF(AND(COUNTIF(A32,"4.*"),COUNTIF(E32,"2.*")),N12-((N12*D40)+(N12*H40)),IF(AND(COUNTIF(A32,"4.*"),COUNTIF(E32,"3.*")),N12-(N12*D40),IF(AND(COUNTIF(A32,"4.*"),COUNTIF(E32,"4.*")),N12-((N12*D40)+(N12*H40)),IF(COUNTIF(A32,"1.*"),N12-H22,IF(OR(COUNTIF(A32,"2.*"),COUNTIF(A32,"4.*")),N12-(N12*D40),IF(COUNTIF(E32,"1.*"),N12-I22,IF(OR(COUNTIF(E32,"2.*"),COUNTIF(E32,"4.*")),N12-(N12*H40),SUM(A20*F20,A21*F21))))))))))))))))))))))</f>
        <v>7.2</v>
      </c>
    </row>
    <row r="25" spans="1:14" x14ac:dyDescent="0.25">
      <c r="A25" s="131"/>
      <c r="B25" s="145"/>
      <c r="C25" s="137" t="str">
        <f>IF(COUNTIF(A32,"1.*"),B25*D37,"")</f>
        <v/>
      </c>
      <c r="D25" s="153"/>
      <c r="E25" s="137" t="str">
        <f>IF(COUNTIF(E32,"1.*"),D25*H37,"")</f>
        <v/>
      </c>
      <c r="F25" s="126">
        <v>125</v>
      </c>
      <c r="G25" s="126">
        <f>IF(AND(COUNTIF(A32,"1.*"),COUNTIF(E32,"1.*")),SUM(A25*F25)-((C25*F25)+(E25*F25)),IF(COUNTIF(A32,"1.*"),SUM(A25*F25)-(C25*F25),IF(COUNTIF(E32,"1.*"),SUM(A25*F25)-(E25*F25),A25*F25)))</f>
        <v>0</v>
      </c>
      <c r="H25" s="31" t="str">
        <f>IF(COUNTIF(A32,"1.*"),SUM(C25*F25),"")</f>
        <v/>
      </c>
      <c r="I25" s="126" t="str">
        <f>IF(COUNTIF(E32,"1.*"),SUM(D25*F25),"")</f>
        <v/>
      </c>
      <c r="J25" s="2" t="str">
        <f>IF(OR(COUNTIF(J9,"1.*"),COUNTIF(J9,"3.*")),"ER Factor","")</f>
        <v>ER Factor</v>
      </c>
      <c r="K25" s="101"/>
      <c r="L25" s="101"/>
      <c r="M25" s="101"/>
      <c r="N25" s="4">
        <f>IF(OR(COUNTIF(J9,"1.*"),COUNTIF(J9,"3.*")),IF(DATEDIF(C3,C5,"m")&lt;=600,(DATEDIF(C3,C5,"m")-540)*0.1%+22%,IF(DATEDIF(C3,C5,"m")&lt;=660,(DATEDIF(C3,C5,"m")-600)*0.2%+28%,IF((DATEDIF(C3,C5,"m")-660)*0.5%+40%&gt;=100%,100%,(DATEDIF(C3,C5,"m")-660)*0.5%+40%))),"")</f>
        <v>0.7350000000000001</v>
      </c>
    </row>
    <row r="26" spans="1:14" x14ac:dyDescent="0.25">
      <c r="A26" s="131"/>
      <c r="B26" s="145"/>
      <c r="C26" s="137" t="str">
        <f>IF(COUNTIF(A32,"1.*"),B26*D37,"")</f>
        <v/>
      </c>
      <c r="D26" s="153"/>
      <c r="E26" s="137" t="str">
        <f>IF(COUNTIF(E32,"1.*"),D26*H37,"")</f>
        <v/>
      </c>
      <c r="F26" s="126">
        <v>135</v>
      </c>
      <c r="G26" s="126">
        <f>IF(AND(COUNTIF(A32,"1.*"),COUNTIF(E32,"1.*")),SUM(A26*F26)-((C26*F26)+(E26*F26)),IF(COUNTIF(A32,"1.*"),SUM(A26*F26)-(C26*F26),IF(COUNTIF(E32,"1.*"),SUM(A26*F26)-(E26*F26),A26*F26)))</f>
        <v>0</v>
      </c>
      <c r="H26" s="31" t="str">
        <f>IF(COUNTIF(A32,"1.*"),SUM(C26*F26),"")</f>
        <v/>
      </c>
      <c r="I26" s="126" t="str">
        <f>IF(COUNTIF(E32,"1.*"),SUM(D26*F26),"")</f>
        <v/>
      </c>
      <c r="J26" s="1" t="str">
        <f>IF(OR(COUNTIF(J9,"1.*"),COUNTIF(J9,"3.*")),"ER Benefit from 09/01/2011 to 09/30/2014","")</f>
        <v>ER Benefit from 09/01/2011 to 09/30/2014</v>
      </c>
      <c r="K26" s="101"/>
      <c r="L26" s="101"/>
      <c r="M26" s="101"/>
      <c r="N26" s="3">
        <f>IF(OR(COUNTIF(J9,"1.*"),COUNTIF(J9,"3.*")),N12*N25,"")</f>
        <v>5.2920000000000007</v>
      </c>
    </row>
    <row r="27" spans="1:14" x14ac:dyDescent="0.25">
      <c r="A27" s="131"/>
      <c r="B27" s="145"/>
      <c r="C27" s="137" t="str">
        <f>IF(COUNTIF(A32,"1.*"),B27*D37,"")</f>
        <v/>
      </c>
      <c r="D27" s="153"/>
      <c r="E27" s="137" t="str">
        <f>IF(COUNTIF(E32,"1.*"),D27*H37,"")</f>
        <v/>
      </c>
      <c r="F27" s="129"/>
      <c r="G27" s="126">
        <f>IF(AND(COUNTIF(A32,"1.*"),COUNTIF(E32,"1.*")),SUM(A27*F27)-((C27*F27)+(E27*F27)),IF(COUNTIF(A32,"1.*"),SUM(A27*F27)-(C27*F27),IF(COUNTIF(E32,"1.*"),SUM(A27*F27)-(E27*F27),A27*F27)))</f>
        <v>0</v>
      </c>
      <c r="H27" s="31" t="str">
        <f>IF(COUNTIF(A32,"1.*"),SUM(C27*F27),"")</f>
        <v/>
      </c>
      <c r="I27" s="126" t="str">
        <f>IF(COUNTIF(E32,"1.*"),SUM(D27*F27),"")</f>
        <v/>
      </c>
      <c r="J27" s="1" t="str">
        <f>IF(COUNTIF(J9,"2.*"),"","Member Benefit on and After 10/01/2014:")</f>
        <v>Member Benefit on and After 10/01/2014:</v>
      </c>
      <c r="M27" s="1">
        <f>IF(COUNTIF(J9,"2.*"),"",SUM(A24:A29))</f>
        <v>3.5</v>
      </c>
      <c r="N27" s="3">
        <f>IF(COUNTIF(J9,"2.*"),"",IF(AND(COUNTIF(A32,"1.*"),COUNTIF(E32,"1.*")),N13-(H30+I30),IF(AND(COUNTIF(A32,"1.*"),COUNTIF(E32,"2.*")),N13-(H30+(N13*H40)),IF(AND(COUNTIF(A32,"1.*"),COUNTIF(E32,"3.*")),N13-H30,IF(AND(COUNTIF(A32,"1.*"),COUNTIF(E32,"4.*")),N13-(H30+(N13*H40)),IF(AND(COUNTIF(A32,"2.*"),COUNTIF(E32,"1.*")),N13-((N13*D40)+I30),IF(AND(COUNTIF(A32,"2.*"),COUNTIF(E32,"2.*")),N13-((N13*D40)+(N13*H40)),IF(AND(COUNTIF(A32,"2.*"),COUNTIF(E32,"3.*")),N13-(N13*D40),IF(AND(COUNTIF(A32,"2.*"),COUNTIF(E32,"4.*")),N13-((N13*D40)+(N13*H40)),IF(AND(COUNTIF(A32,"3.*"),COUNTIF(E32,"1.*")),N13-I30,IF(AND(COUNTIF(A32,"3.*"),COUNTIF(E32,"2.*")),N13-(N13*H40),IF(AND(COUNTIF(A32,"3.*"),COUNTIF(E32,"3.*")),N13,IF(AND(COUNTIF(A32,"3.*"),COUNTIF(E32,"4.*")),N13-(N13*H40),IF(AND(COUNTIF(A32,"4.*"),COUNTIF(E32,"1.*")),N13-((N13*D40)+I18),IF(AND(COUNTIF(A32,"4.*"),COUNTIF(E32,"2.*")),N13-((N13*D40)+(N13*H40)),IF(AND(COUNTIF(A32,"4.*"),COUNTIF(E32,"3.*")),N13-(N13*D40),IF(AND(COUNTIF(A32,"4.*"),COUNTIF(E32,"4.*")),N13-((N13*D40)+(N13*H40)),IF(COUNTIF(A32,"1.*"),N13-H30,IF(OR(COUNTIF(A32,"2.*"),COUNTIF(A32,"4.*")),N13-(N13*D40),IF(COUNTIF(E32,"1.*"),N13-I30,IF(OR(COUNTIF(E32,"2.*"),COUNTIF(E32,"4.*")),N13-(N13*H40),SUM(A24*F24,A25*F25,A26*F26,A27*F27,A28*F28,A28*F28,A29*F29))))))))))))))))))))))</f>
        <v>367.5</v>
      </c>
    </row>
    <row r="28" spans="1:14" ht="15.75" customHeight="1" x14ac:dyDescent="0.25">
      <c r="A28" s="131"/>
      <c r="B28" s="145"/>
      <c r="C28" s="137" t="str">
        <f>IF(COUNTIF(A32,"1.*"),B28*D37,"")</f>
        <v/>
      </c>
      <c r="D28" s="153"/>
      <c r="E28" s="137" t="str">
        <f>IF(COUNTIF(E32,"1.*"),D28*H37,"")</f>
        <v/>
      </c>
      <c r="F28" s="129"/>
      <c r="G28" s="126">
        <f>IF(AND(COUNTIF(A32,"1.*"),COUNTIF(E32,"1.*")),SUM(A28*F28)-((C28*F28)+(E28*F28)),IF(COUNTIF(A32,"1.*"),SUM(A28*F28)-(C28*F28),IF(COUNTIF(E32,"1.*"),SUM(A28*F28)-(E28*F28),A28*F28)))</f>
        <v>0</v>
      </c>
      <c r="H28" s="31" t="str">
        <f>IF(COUNTIF(A32,"1.*"),SUM(C28*F28),"")</f>
        <v/>
      </c>
      <c r="I28" s="126" t="str">
        <f>IF(COUNTIF(E32,"1.*"),SUM(D28*F28),"")</f>
        <v/>
      </c>
      <c r="J28" s="1" t="str">
        <f>IF(OR(COUNTIF(J9,"1.*"),COUNTIF(J9,"3.*"),COUNTIF(J9,"7.*")),"ER Factor","")</f>
        <v>ER Factor</v>
      </c>
      <c r="N28" s="4">
        <f>IF(OR(COUNTIF(J9,"1.*"),COUNTIF(J9,"3.*"),COUNTIF(J9,"7.*")),IF(DATEDIF(C3,C5,"m")&lt;=600,(DATEDIF(C3,C5,"m")-540)*0.1%+22%,IF(DATEDIF(C3,C5,"m")&lt;=660,(DATEDIF(C3,C5,"m")-600)*0.2%+28%,IF((DATEDIF(C3,C5,"m")-660)*0.5%+40%&gt;=100%,100%,(DATEDIF(C3,C5,"m")-660)*0.5%+40%))),"")</f>
        <v>0.7350000000000001</v>
      </c>
    </row>
    <row r="29" spans="1:14" ht="14.25" thickBot="1" x14ac:dyDescent="0.3">
      <c r="A29" s="132"/>
      <c r="B29" s="146"/>
      <c r="C29" s="138" t="str">
        <f>IF(COUNTIF(A32,"1.*"),B29*D37,"")</f>
        <v/>
      </c>
      <c r="D29" s="153"/>
      <c r="E29" s="137" t="str">
        <f>IF(COUNTIF(E32,"1.*"),D29*H37,"")</f>
        <v/>
      </c>
      <c r="F29" s="134"/>
      <c r="G29" s="126">
        <f>IF(AND(COUNTIF(A32,"1.*"),COUNTIF(E32,"1.*")),SUM(A29*F29)-((C29*F29)+(E29*F29)),IF(COUNTIF(A32,"1.*"),SUM(A29*F29)-(C29*F29),IF(COUNTIF(E32,"1.*"),SUM(A29*F29)-(E29*F29),A29*F29)))</f>
        <v>0</v>
      </c>
      <c r="H29" s="31" t="str">
        <f>IF(COUNTIF(A32,"1.*"),SUM(C29*F29),"")</f>
        <v/>
      </c>
      <c r="I29" s="126" t="str">
        <f>IF(COUNTIF(E32,"1.*"),SUM(D29*F29),"")</f>
        <v/>
      </c>
      <c r="J29" s="1" t="str">
        <f>IF(OR(COUNTIF(J9,"1.*"),COUNTIF(J9,"3.*"),COUNTIF(J9,"7.*")),"ER Benefit on or After 10/01/2014","")</f>
        <v>ER Benefit on or After 10/01/2014</v>
      </c>
      <c r="N29" s="3">
        <f>IF(OR(COUNTIF(J9,"1.*"),COUNTIF(J9,"3.*"),COUNTIF(J9,"7.*")),N13*N28,"")</f>
        <v>270.11250000000001</v>
      </c>
    </row>
    <row r="30" spans="1:14" ht="14.25" thickBot="1" x14ac:dyDescent="0.3">
      <c r="A30" s="24">
        <f>SUM(A24:A29)</f>
        <v>3.5</v>
      </c>
      <c r="B30" s="91" t="str">
        <f>IF(COUNTIF(A32,"1.*"),SUM(B24:B29),"")</f>
        <v/>
      </c>
      <c r="C30" s="91" t="str">
        <f>IF(COUNTIF(A32,"1.*"),SUM(C24:C29),"")</f>
        <v/>
      </c>
      <c r="D30" s="91" t="str">
        <f>IF(COUNTIF(E32,"1.*"),SUM(D24:D29),"")</f>
        <v/>
      </c>
      <c r="E30" s="91" t="str">
        <f>IF(COUNTIF(E32,"1.*"),SUM(E24:E29),"")</f>
        <v/>
      </c>
      <c r="F30" s="121" t="s">
        <v>11</v>
      </c>
      <c r="G30" s="26">
        <f>SUM(G24:G29)</f>
        <v>367.5</v>
      </c>
      <c r="H30" s="26" t="str">
        <f>IF(COUNTIF(A32,"1.*"),SUM(H24:H29),"")</f>
        <v/>
      </c>
      <c r="I30" s="26" t="str">
        <f>IF(COUNTIF(E32,"1.*"),SUM(I24:I29),"")</f>
        <v/>
      </c>
      <c r="J30" s="1" t="str">
        <f>IF(COUNTIF(A32,"3.*"),"AP 1 Pay Status Reduction","")</f>
        <v/>
      </c>
      <c r="N30" s="1" t="str">
        <f>IF(COUNTIF(A32,"3.*"),D38,"")</f>
        <v/>
      </c>
    </row>
    <row r="31" spans="1:14" ht="15.75" customHeight="1" thickBot="1" x14ac:dyDescent="0.3">
      <c r="A31" s="24">
        <f>SUM(A18,A22,A30)</f>
        <v>10.65</v>
      </c>
      <c r="B31" s="110" t="str">
        <f>IF(COUNTIF(A32,"1.*"),SUM(B18,B22,B30),"")</f>
        <v/>
      </c>
      <c r="C31" s="110" t="str">
        <f>IF(COUNTIF(A32,"1.*"),SUM(C18,C22,C30),"")</f>
        <v/>
      </c>
      <c r="D31" s="110" t="str">
        <f>IF(COUNTIF(E32,"1.*"),SUM(D18,D22,D30),"")</f>
        <v/>
      </c>
      <c r="E31" s="91" t="str">
        <f>IF(COUNTIF(E32,"1.*"),SUM(E18,E22,E30),"")</f>
        <v/>
      </c>
      <c r="F31" s="122" t="s">
        <v>37</v>
      </c>
      <c r="G31" s="26">
        <f>SUM(G18,G22,G30)</f>
        <v>1186.3400000000001</v>
      </c>
      <c r="H31" s="26" t="str">
        <f>IF(COUNTIF(A32,"1.*"),SUM(H18,H22,H30),"")</f>
        <v/>
      </c>
      <c r="I31" s="26" t="str">
        <f>IF(COUNTIF(E32,"1.*"),SUM(I18,I22,I30),"")</f>
        <v/>
      </c>
      <c r="J31" s="1" t="str">
        <f>IF(COUNTIF(E32,"3.*"),"AP 2 Pay Status Reduction","")</f>
        <v/>
      </c>
      <c r="N31" s="1" t="str">
        <f>IF(COUNTIF(E32,"3.*"),H38,"")</f>
        <v/>
      </c>
    </row>
    <row r="32" spans="1:14" ht="14.25" thickBot="1" x14ac:dyDescent="0.3">
      <c r="A32" s="668" t="s">
        <v>193</v>
      </c>
      <c r="B32" s="669"/>
      <c r="C32" s="669"/>
      <c r="D32" s="670"/>
      <c r="E32" s="668" t="s">
        <v>193</v>
      </c>
      <c r="F32" s="669"/>
      <c r="G32" s="669"/>
      <c r="H32" s="670"/>
      <c r="J32" s="160" t="str">
        <f>IF(AND(COUNTIF(A32,"_"),COUNTIF(E32,"_")),"","Member Monthly Benefit After AP Reductions:")</f>
        <v/>
      </c>
      <c r="K32" s="160"/>
      <c r="L32" s="160"/>
      <c r="M32" s="160"/>
      <c r="N32" s="161" t="str">
        <f>IF(AND(COUNTIF(A32,"_"),COUNTIF(E32,"_")),"",IF(COUNTIF(J9,"1.*"),SUM(N23,N26,N29),IF(COUNTIF(J9,"3.*"),SUM(N21,N26,N29),IF(COUNTIF(J9,"7.*"),SUM(N21,N24,N29),SUM(N21,N24,N27)))))</f>
        <v/>
      </c>
    </row>
    <row r="33" spans="1:16" ht="15.75" customHeight="1" thickBot="1" x14ac:dyDescent="0.3">
      <c r="A33" s="561" t="str">
        <f>IF(COUNTIF(A32,"_"),"","AP 1 QDRO Calculation")</f>
        <v/>
      </c>
      <c r="B33" s="562"/>
      <c r="C33" s="562"/>
      <c r="D33" s="563"/>
      <c r="E33" s="561" t="str">
        <f>IF(COUNTIF(E32,"_"),"","AP 2 QDRO Calculation")</f>
        <v/>
      </c>
      <c r="F33" s="562"/>
      <c r="G33" s="562"/>
      <c r="H33" s="563"/>
      <c r="J33" s="160" t="str">
        <f>IF(AND(COUNTIF(A32,"_"),COUNTIF(E32,"_")),"","Member 13th Check After AP Reductions:")</f>
        <v/>
      </c>
      <c r="K33" s="160"/>
      <c r="L33" s="160"/>
      <c r="M33" s="160"/>
      <c r="N33" s="161" t="str">
        <f>IF(AND(COUNTIF(A32,"_"),COUNTIF(E32,"_")),"",IF(COUNTIF(J9,"1.*"),SUM(N23,N26),IF(COUNTIF(J9,"3.*"),SUM(N21,N26),SUM(N21,N24))))</f>
        <v/>
      </c>
    </row>
    <row r="34" spans="1:16" ht="27" customHeight="1" x14ac:dyDescent="0.25">
      <c r="A34" s="77" t="str">
        <f>IF(COUNTIF(A32,"_"),"","AP 1 Name:")</f>
        <v/>
      </c>
      <c r="B34" s="176" t="s">
        <v>188</v>
      </c>
      <c r="C34" s="111" t="str">
        <f>IF(COUNTIF(A32,"_"),"","AP 1 DOB:")</f>
        <v/>
      </c>
      <c r="D34" s="173">
        <v>31610</v>
      </c>
      <c r="E34" s="77" t="str">
        <f>IF(COUNTIF(E32,"_"),"","AP 2 Name:")</f>
        <v/>
      </c>
      <c r="F34" s="177"/>
      <c r="G34" s="111" t="str">
        <f>IF(COUNTIF(E32,"_"),"","AP 2 DOB:")</f>
        <v/>
      </c>
      <c r="H34" s="155"/>
      <c r="J34" s="160" t="str">
        <f>IF(AND(COUNTIF(A32,"_"),COUNTIF(E32,"_")),"",IF(OR(COUNTIF(J9,"1.*"),COUNTIF(J9,"3.*"),COUNTIF(J9,"7.*")),"Member Benefit Deferred at Age 65 After AP Reductions:",""))</f>
        <v/>
      </c>
      <c r="K34" s="160"/>
      <c r="L34" s="160"/>
      <c r="M34" s="160"/>
      <c r="N34" s="161" t="str">
        <f>IF(AND(COUNTIF(A32,"_"),COUNTIF(E32,"_")),"",IF(OR(COUNTIF(J9,"1.*"),COUNTIF(J9,"3.*"),COUNTIF(J9,"7.*")),SUM(N21,N24,N27),""))</f>
        <v/>
      </c>
    </row>
    <row r="35" spans="1:16" ht="14.25" thickBot="1" x14ac:dyDescent="0.3">
      <c r="A35" s="77" t="str">
        <f>IF(COUNTIF(A32,"_"),"","DOM:")</f>
        <v/>
      </c>
      <c r="B35" s="174">
        <v>40733</v>
      </c>
      <c r="C35" s="1" t="str">
        <f>IF(COUNTIF(A32,"_"),"","DOS:")</f>
        <v/>
      </c>
      <c r="D35" s="175">
        <v>44569</v>
      </c>
      <c r="E35" s="77" t="str">
        <f>IF(COUNTIF(E32,"_"),"","DOM:")</f>
        <v/>
      </c>
      <c r="F35" s="154"/>
      <c r="G35" s="1" t="str">
        <f>IF(COUNTIF(E32,"_"),"","DOS:")</f>
        <v/>
      </c>
      <c r="H35" s="156"/>
      <c r="J35" s="160" t="str">
        <f>IF(AND(COUNTIF(A32,"_"),COUNTIF(E32,"_")),"",IF(OR(COUNTIF(J9,"1.*"),COUNTIF(J9,"3.*"),COUNTIF(J9,"7.*")),"Member 13th Check After AP Reductions:",""))</f>
        <v/>
      </c>
      <c r="K35" s="160"/>
      <c r="L35" s="160"/>
      <c r="M35" s="160"/>
      <c r="N35" s="161" t="str">
        <f>IF(AND(COUNTIF(A32,"_"),COUNTIF(E32,"_")),"",IF(OR(COUNTIF(J9,"1.*"),COUNTIF(J9,"3.*"),COUNTIF(J9,"7.*")),SUM(N21,N24),""))</f>
        <v/>
      </c>
    </row>
    <row r="36" spans="1:16" ht="27.75" customHeight="1" thickBot="1" x14ac:dyDescent="0.3">
      <c r="A36" s="142" t="str">
        <f>IF(COUNTIF(A32,"_"),"",IF(COUNTIF(A32,"2.*"),"Total Service Credits:",IF(COUNTIF(A32,"4.*"),"Total Months Worked","")))</f>
        <v/>
      </c>
      <c r="B36" s="112" t="str">
        <f>IF(COUNTIF(A32,"_"),"",IF(COUNTIF(A32,"2.*"),SUM(A11:A17,A20:A21,A24:A29),IF(COUNTIF(A32,"4.*"),SUM('QDRO Month Calc'!B4:B69),"")))</f>
        <v/>
      </c>
      <c r="C36" s="143" t="str">
        <f>IF(COUNTIF(A32,"_"),"",IF(COUNTIF(A32,"2.*"),"Total Credits EDM:",IF(COUNTIF(A32,"3.*"),"",IF(COUNTIF(A32,"4.*"),"Total Months Worked During Marriage",""))))</f>
        <v/>
      </c>
      <c r="D36" s="147">
        <v>8.17</v>
      </c>
      <c r="E36" s="142" t="str">
        <f>IF(COUNTIF(E32,"_"),"",IF(COUNTIF(E32,"2.*"),"Total Service Credits:",IF(COUNTIF(E32,"4.*"),"Total Months Worked","")))</f>
        <v/>
      </c>
      <c r="F36" s="112" t="str">
        <f>IF(COUNTIF(E32,"_"),"",IF(COUNTIF(E32,"2.*"),SUM(A11:A17,A20:A21,A24:A29),IF(COUNTIF(E32,"4.*"),SUM('QDRO Month Calc'!H4:H69),"")))</f>
        <v/>
      </c>
      <c r="G36" s="143" t="str">
        <f>IF(COUNTIF(E32,"_"),"",IF(COUNTIF(E32,"2.*"),"Total Credits EDM:",IF(COUNTIF(E32,"3.*"),"",IF(COUNTIF(E32,"4.*"),"Total Months Worked During Marriage",""))))</f>
        <v/>
      </c>
      <c r="H36" s="157" t="str">
        <f>IF(COUNTIF(E32,"4.*"),SUM('QDRO Month Calc'!I4:I69),IF(COUNTIF(E32,"2.*"),D31,""))</f>
        <v/>
      </c>
      <c r="J36" s="540" t="str">
        <f>IF(COUNTIF(C7,""),"",IF(COUNTIF(J9,"1.*"),"Early Retirement H&amp;W Pension Options",IF(COUNTIF(J9,"2.*"),"Regular at 62 H&amp;W Pension Options",IF(COUNTIF(J9,"3.*"),"Regular at 62 &amp; Early H&amp;W Pension Options",IF(COUNTIF(J9,"4.*"),"Regular at 62 &amp; Disability H&amp;W Pension Options",IF(COUNTIF(J9,"5.*"),"Regular at 65 H&amp;W Pension Options",IF(COUNTIF(J9,"6.*"),"Disability H&amp;W Pension Options",IF(COUNTIF(J9,"7.*"),"Service Pre-Age 55 &amp; Early H&amp;W Pension Options",IF(COUNTIF(J9,"8.*"),"Service Pre-Age 55 &amp; Disability H&amp;W Pension Options",IF(COUNTIF(J9,"9.*"),"Service H&amp;W Pension Options","Additional H&amp;W Options"))))))))))</f>
        <v>Early Retirement H&amp;W Pension Options</v>
      </c>
      <c r="K36" s="541"/>
      <c r="L36" s="541"/>
      <c r="M36" s="542"/>
    </row>
    <row r="37" spans="1:16" x14ac:dyDescent="0.25">
      <c r="A37" s="142" t="str">
        <f>IF(COUNTIF(A32,"_"),"",IF(OR(COUNTIF(A32,"2.*"),COUNTIF(A32,"4.*")),"Community Property Percentage:",""))</f>
        <v/>
      </c>
      <c r="B37" s="102" t="str">
        <f>IF(COUNTIF(A32,"_"),"",IF(OR(COUNTIF(A32,"2.*"),COUNTIF(A32,"4.*")),ROUNDDOWN(SUM(D36/B36),4),""))</f>
        <v/>
      </c>
      <c r="C37" s="141" t="str">
        <f>IF(COUNTIF(A32,"_"),"",IF(OR(COUNTIF(A32,"1.*"),COUNTIF(A32,"2.*"),COUNTIF(A32,"4.*")),"Percentage Amount Awarded to AP 1:",""))</f>
        <v/>
      </c>
      <c r="D37" s="148">
        <v>0.5</v>
      </c>
      <c r="E37" s="142" t="str">
        <f>IF(COUNTIF(E32,"_"),"",IF(OR(COUNTIF(E32,"2.*"),COUNTIF(E32,"4.*")),"Community Property Percentage:",""))</f>
        <v/>
      </c>
      <c r="F37" s="102" t="str">
        <f>IF(COUNTIF(E32,"_"),"",IF(OR(COUNTIF(E32,"2.*"),COUNTIF(E32,"4.*")),ROUNDDOWN(SUM(H36/F36),4),""))</f>
        <v/>
      </c>
      <c r="G37" s="141" t="str">
        <f>IF(COUNTIF(E32,"_"),"",IF(OR(COUNTIF(E32,"1.*"),COUNTIF(E32,"2.*"),COUNTIF(E32,"4.*")),"Percentage Amount Awarded to AP 2:",""))</f>
        <v/>
      </c>
      <c r="H37" s="158">
        <v>0.5</v>
      </c>
      <c r="J37" s="11" t="str">
        <f>IF(COUNTIF(C7,""),"","Option")</f>
        <v>Option</v>
      </c>
      <c r="K37" s="10" t="str">
        <f>IF(COUNTIF(C7,""),"","Factor")</f>
        <v>Factor</v>
      </c>
      <c r="L37" s="10" t="str">
        <f>IF(COUNTIF(C7,""),"","Member Benefit")</f>
        <v>Member Benefit</v>
      </c>
      <c r="M37" s="15" t="str">
        <f>IF(COUNTIF(C7,""),"","Spouse Benefit")</f>
        <v>Spouse Benefit</v>
      </c>
    </row>
    <row r="38" spans="1:16" x14ac:dyDescent="0.25">
      <c r="A38" s="77" t="str">
        <f>IF(COUNTIF(A32,"_"),"",IF(COUNTIF(A32,"3.*"),"AP 1 Awarded Monthly Amount:",""))</f>
        <v/>
      </c>
      <c r="D38" s="149"/>
      <c r="E38" s="77" t="str">
        <f>IF(COUNTIF(E32,"_"),"",IF(COUNTIF(E32,"3.*"),"AP 2 Awarded Monthly Amount:",""))</f>
        <v/>
      </c>
      <c r="H38" s="159"/>
      <c r="J38" s="162" t="str">
        <f>IF(COUNTIF(C7,""),"","50%")</f>
        <v>50%</v>
      </c>
      <c r="K38" s="163">
        <f>IF(COUNTIF(C7,""),"",IF(COUNTIF(J9,"4.*"),IF(COUNTIF(I8,"*Younger*"),100%-8%-(H8*0.4%),IF(100%-8%+(H8*0.4%)&gt;100%,100%,100%-8%+(H8*0.4%)))*100&amp;"% / "&amp;IF(COUNTIF(I8,"*Younger*"),100%-18%-(H8*0.4%),IF(100%-18%+(H8*0.4%)&gt;100%,100%,100%-18%+(H8*0.4%)))*100&amp;"%",IF(COUNTIF(J9,"6.*"),IF(COUNTIF(I8,"*Younger*"),100%-18%-(H8*0.4%),IF(100%-18%+(H8*0.4%)&gt;100%,100%,100%-18%+(H8*0.4%))),IF(COUNTIF(J9,"8.*"),IF(COUNTIF(I8,"*Younger*"),100%-8%-(H8*0.4%),IF(100%-8%+(H8*0.4%)&gt;100%,100%,100%-8%+(H8*0.4%)))*100&amp;"% / "&amp;IF(COUNTIF(I8,"*Younger*"),100%-18%-(H8*0.4%),IF(100%-18%+(H8*0.4%)&gt;100%,100%,100%-18%+(H8*0.4%)))*100&amp;"%",IF(COUNTIF(I8,"*Younger*"),100%-8%-(H8*0.4%),IF(100%-8%+(H8*0.4%)&gt;100%,100%,100%-8%+(H8*0.4%)))))))</f>
        <v>0.872</v>
      </c>
      <c r="L38" s="164" t="e">
        <f>IF(COUNTIF(C7,""),"",IF(COUNTIF(J9,"1.*"),(N32)*K38,IF(COUNTIF(J9,"2.*"),(N32)*K38,IF(COUNTIF(J9,"3.*"),(N32)*K38,IF(COUNTIF(J9,"5.*"),(N32)*K38,IF(COUNTIF(J9,"6.*"),(N32)*K38,IF(COUNTIF(J9,"7.*"),(N32)*K38,IF(COUNTIF(J9,"8.*"),(N11+N12)*IF(COUNTIF(I8,"*Younger*"),100%-8%-(H8*0.4%),IF(100%-8%+(H8*0.4%)&gt;100%,100%,100%-8%+(H8*0.4%)))+(N13*IF(COUNTIF(I8,"*Younger*"),100%-18%-(H8*0.4%),IF(100%-18%+(H8*0.4%)&gt;100%,100%,100%-18%+(H8*0.4%)))),IF(COUNTIF(J9,"4.*"),N11*IF(COUNTIF(I8,"*Younger*"),100%-8%-(H8*0.4%),IF(100%-8%+(H8*0.4%)&gt;100%,100%,100%-8%+(H8*0.4%)))+(N12+N13)*IF(COUNTIF(I8,"*Younger*"),100%-18%-(H8*0.4%),IF(100%-18%+(H8*0.4%)&gt;100%,100%,100%-18%+(H8*0.4%))),IF(COUNTIF(J9,"9.*"),(N32)*K38,""))))))))))</f>
        <v>#VALUE!</v>
      </c>
      <c r="M38" s="165" t="e">
        <f>IF(COUNTIF(C7,""),"",L38*J38)</f>
        <v>#VALUE!</v>
      </c>
    </row>
    <row r="39" spans="1:16" x14ac:dyDescent="0.25">
      <c r="A39" s="77" t="str">
        <f>IF(COUNTIF(A32,"_"),"",IF(COUNTIF(A32,"3.*"),"AP 1 Awarded 13th Check Amount:",""))</f>
        <v/>
      </c>
      <c r="D39" s="149"/>
      <c r="E39" s="77" t="str">
        <f>IF(COUNTIF(E32,"_"),"",IF(COUNTIF(E32,"3.*"),"AP 2 Awarded 13th Check Amount:",""))</f>
        <v/>
      </c>
      <c r="H39" s="159"/>
      <c r="J39" s="166" t="str">
        <f>IF(COUNTIF(C7,""),"","13th Check")</f>
        <v>13th Check</v>
      </c>
      <c r="K39" s="163">
        <f>IF(COUNTIF(C7,""),"",IF(COUNTIF(J9,"4.*"),IF(COUNTIF(I8,"*Younger*"),100%-8%-(H8*0.4%),IF(100%-8%+(H8*0.4%)&gt;100%,100%,100%-8%+(H8*0.4%)))*100&amp;"% / "&amp;IF(COUNTIF(I8,"*Younger*"),100%-18%-(H8*0.4%),IF(100%-18%+(H8*0.4%)&gt;100%,100%,100%-18%+(H8*0.4%)))*100&amp;"%",IF(COUNTIF(J9,"6.*"),IF(COUNTIF(I8,"*Younger*"),100%-18%-(H8*0.4%),IF(100%-18%+(H8*0.4%)&gt;100%,100%,100%-18%+(H8*0.4%))),IF(COUNTIF(J9,"8.*"),IF(COUNTIF(I8,"*Younger*"),100%-8%-(H8*0.4%),IF(100%-8%+(H8*0.4%)&gt;100%,100%,100%-8%+(H8*0.4%)))*100&amp;"% / "&amp;IF(COUNTIF(I8,"*Younger*"),100%-18%-(H8*0.4%),IF(100%-18%+(H8*0.4%)&gt;100%,100%,100%-18%+(H8*0.4%)))*100&amp;"%",IF(COUNTIF(I8,"*Younger*"),100%-8%-(H8*0.4%),IF(100%-8%+(H8*0.4%)&gt;100%,100%,100%-8%+(H8*0.4%)))))))</f>
        <v>0.872</v>
      </c>
      <c r="L39" s="164" t="e">
        <f>IF(COUNTIF(C7,""),"",IF(COUNTIF(J9,"1.*"),(N33)*K39,IF(COUNTIF(J9,"2.*"),(N33)*K39,IF(COUNTIF(J9,"3.*"),(N33)*K39,IF(COUNTIF(J9,"5.*"),(N33)*K39,IF(COUNTIF(J9,"6.*"),(N33)*K39,IF(COUNTIF(J9,"7.*"),(N33)*K39,IF(COUNTIF(J9,"8.*"),(N11+N12)*IF(COUNTIF(I8,"*Younger*"),100%-8%-(H8*0.4%),IF(100%-8%+(H8*0.4%)&gt;100%,100%,100%-8%+(H8*0.4%))),IF(COUNTIF(J9,"4.*"),N11*IF(COUNTIF(I8,"*Younger*"),100%-8%-(H8*0.4%),IF(100%-8%+(H8*0.4%)&gt;100%,100%,100%-8%+(H8*0.4%)))+(N12)*IF(COUNTIF(I8,"*Younger*"),100%-18%-(H8*0.4%),IF(100%-18%+(H8*0.4%)&gt;100%,100%,100%-18%+(H8*0.4%))),IF(COUNTIF(J9,"9.*"),(N33)*K39,""))))))))))</f>
        <v>#VALUE!</v>
      </c>
      <c r="M39" s="165" t="e">
        <f>IF(COUNTIF(C7,""),"",L39*J38)</f>
        <v>#VALUE!</v>
      </c>
    </row>
    <row r="40" spans="1:16" x14ac:dyDescent="0.25">
      <c r="A40" s="77" t="str">
        <f>IF(COUNTIF(A32,"_"),"",IF(OR(COUNTIF(A32,"2.*"),COUNTIF(A32,"4.*")),"Final AP 1 Awarded Percentage:",""))</f>
        <v/>
      </c>
      <c r="D40" s="113" t="str">
        <f>IF(COUNTIF(A32,"_"),"",IF(OR(COUNTIF(A32,"2.*"),COUNTIF(A32,"4.*")),ROUNDDOWN(SUM(B37*D37),4),""))</f>
        <v/>
      </c>
      <c r="E40" s="77" t="str">
        <f>IF(COUNTIF(E32,"_"),"",IF(OR(COUNTIF(E32,"2.*"),COUNTIF(E32,"4.*")),"Final AP 2 Awarded Percentage:",""))</f>
        <v/>
      </c>
      <c r="H40" s="113" t="str">
        <f>IF(COUNTIF(E32,"_"),"",IF(OR(COUNTIF(E32,"2.*"),COUNTIF(E32,"4.*")),ROUNDDOWN(SUM(F37*H37),4),""))</f>
        <v/>
      </c>
      <c r="J40" s="162" t="str">
        <f>IF(COUNTIF(C7,""),"","75%")</f>
        <v>75%</v>
      </c>
      <c r="K40" s="163">
        <f>IF(COUNTIF(C7,""),"",IF(COUNTIF(J9,"4.*"),IF(COUNTIF(I8,"*Younger*"),100%-12%-(H8*0.4%),IF(100%-12%+(H8*0.4%)&gt;100%,100%,100%-12%+(H8*0.4%)))*100&amp;"% / "&amp;IF(COUNTIF(I8,"*Younger*"),100%-24%-(H8*0.4%),IF(100%-24%+(H8*0.4%)&gt;100%,100%,100%-24%+(H8*0.4%)))*100&amp;"%",IF(COUNTIF(J9,"6.*"),IF(COUNTIF(I8,"*Younger*"),100%-24%-(H8*0.4%),IF(100%-24%+(H8*0.4%)&gt;100%,100%,100%-24%+(H8*0.4%))),IF(COUNTIF(J9,"8.*"),IF(COUNTIF(I8,"*Younger*"),100%-12%-(H8*0.4%),IF(100%-12%+(H8*0.4%)&gt;100%,100%,100%-12%+(H8*0.4%)))*100&amp;"% / "&amp;IF(COUNTIF(I8,"*Younger*"),100%-24%-(H8*0.4%),IF(100%-24%+(H8*0.4%)&gt;100%,100%,100%-24%+(H8*0.4%)))*100&amp;"%",IF(COUNTIF(I8,"*Younger*"),100%-12%-(H8*0.4%),IF(100%-12%+(H8*0.4%)&gt;100%,100%,100%-12%+(H8*0.4%)))))))</f>
        <v>0.83199999999999996</v>
      </c>
      <c r="L40" s="164" t="e">
        <f>IF(COUNTIF(C7,""),"",IF(COUNTIF(J9,"1.*"),(N32)*K40,IF(COUNTIF(J9,"2.*"),(N32)*K40,IF(COUNTIF(J9,"3.*"),(N32)*K40,IF(COUNTIF(J9,"5.*"),(N32)*K40,IF(COUNTIF(J9,"6.*"),(N32)*K40,IF(COUNTIF(J9,"7.*"),(N32)*K40,IF(COUNTIF(J9,"8.*"),(N11+N12)*IF(COUNTIF(I8,"*Younger*"),100%-12%-(H8*0.4%),IF(100%-12%+(H8*0.4%)&gt;100%,100%,100%-12%+(H8*0.4%)))+(N13*IF(COUNTIF(I8,"*Younger*"),100%-24%-(H8*0.4%),IF(100%-24%+(H8*0.4%)&gt;100%,100%,100%-24%+(H8*0.4%)))),IF(COUNTIF(J9,"4.*"),N11*IF(COUNTIF(I8,"*Younger*"),100%-12%-(H8*0.4%),IF(100%-12%+(H8*0.4%)&gt;100%,100%,100%-12%+(H8*0.4%)))+(N12+N13)*IF(COUNTIF(I8,"*Younger*"),100%-24%-(H8*0.4%),IF(100%-24%+(H8*0.4%)&gt;100%,100%,100%-24%+(H8*0.4%))),IF(COUNTIF(J9,"9.*"),(N32)*K40,""))))))))))</f>
        <v>#VALUE!</v>
      </c>
      <c r="M40" s="165" t="e">
        <f>IF(COUNTIF(C7,""),"",L40*J40)</f>
        <v>#VALUE!</v>
      </c>
    </row>
    <row r="41" spans="1:16" ht="15.75" customHeight="1" x14ac:dyDescent="0.25">
      <c r="A41" s="77" t="str">
        <f>IF(COUNTIF(A32,"_"),"",IF(OR(COUNTIF(A32,"1.*"),COUNTIF(A32,"2.*"),COUNTIF(A32,"4.*")),"AP 1 Full Benefit Prior to 09/01/2011:",""))</f>
        <v/>
      </c>
      <c r="D41" s="5" t="str">
        <f>IF(COUNTIF(A32,"_"),"",IF(OR(COUNTIF(A32,"2.*"),COUNTIF(A32,"4.*")),N11*D40,IF(COUNTIF(A32,"1.*"),H18,"")))</f>
        <v/>
      </c>
      <c r="E41" s="77" t="str">
        <f>IF(COUNTIF(E32,"_"),"",IF(OR(COUNTIF(E32,"1.*"),COUNTIF(E32,"2.*"),COUNTIF(E32,"4.*")),"AP 2 Full Benefit Prior to 09/01/2011:",""))</f>
        <v/>
      </c>
      <c r="H41" s="5" t="str">
        <f>IF(COUNTIF(E32,"_"),"",IF(OR(COUNTIF(E32,"2.*"),COUNTIF(E32,"4.*")),N11*H40,IF(COUNTIF(E32,"1.*"),I18,"")))</f>
        <v/>
      </c>
      <c r="I41" s="2"/>
      <c r="J41" s="166" t="str">
        <f>IF(COUNTIF(C7,""),"","13th Check")</f>
        <v>13th Check</v>
      </c>
      <c r="K41" s="163">
        <f>IF(COUNTIF(C7,""),"",IF(COUNTIF(J9,"4.*"),IF(COUNTIF(I8,"*Younger*"),100%-12%-(H8*0.4%),IF(100%-12%+(H8*0.4%)&gt;100%,100%,100%-12%+(H8*0.4%)))*100&amp;"% / "&amp;IF(COUNTIF(I8,"*Younger*"),100%-24%-(H8*0.4%),IF(100%-24%+(H8*0.4%)&gt;100%,100%,100%-24%+(H8*0.4%)))*100&amp;"%",IF(COUNTIF(J9,"6.*"),IF(COUNTIF(I8,"*Younger*"),100%-24%-(H8*0.4%),IF(100%-24%+(H8*0.4%)&gt;100%,100%,100%-24%+(H8*0.4%))),IF(COUNTIF(J9,"8.*"),IF(COUNTIF(I8,"*Younger*"),100%-12%-(H8*0.4%),IF(100%-12%+(H8*0.4%)&gt;100%,100%,100%-12%+(H8*0.4%)))*100&amp;"% / "&amp;IF(COUNTIF(I8,"*Younger*"),100%-24%-(H8*0.4%),IF(100%-24%+(H8*0.4%)&gt;100%,100%,100%-24%+(H8*0.4%)))*100&amp;"%",IF(COUNTIF(I8,"*Younger*"),100%-12%-(H8*0.4%),IF(100%-12%+(H8*0.4%)&gt;100%,100%,100%-12%+(H8*0.4%)))))))</f>
        <v>0.83199999999999996</v>
      </c>
      <c r="L41" s="164" t="e">
        <f>IF(COUNTIF(C7,""),"",IF(COUNTIF(J9,"1.*"),(N33)*K41,IF(COUNTIF(J9,"2.*"),(N33)*K41,IF(COUNTIF(J9,"3.*"),(N33)*K41,IF(COUNTIF(J9,"5.*"),(N33)*K41,IF(COUNTIF(J9,"6.*"),(N33)*K41,IF(COUNTIF(J9,"7.*"),(N33)*K41,IF(COUNTIF(J9,"8.*"),(N11+N12)*IF(COUNTIF(I8,"*Younger*"),100%-12%-(H8*0.4%),IF(100%-12%+(H8*0.4%)&gt;100%,100%,100%-12%+(H8*0.4%))),IF(COUNTIF(J9,"4.*"),N11*IF(COUNTIF(I8,"*Younger*"),100%-12%-(H8*0.4%),IF(100%-12%+(H8*0.4%)&gt;100%,100%,100%-12%+(H8*0.4%)))+(N12)*IF(COUNTIF(I8,"*Younger*"),100%-24%-(H8*0.4%),IF(100%-24%+(H8*0.4%)&gt;100%,100%,100%-24%+(H8*0.4%))),IF(COUNTIF(J9,"9.*"),(N33)*K41,""))))))))))</f>
        <v>#VALUE!</v>
      </c>
      <c r="M41" s="165" t="e">
        <f>IF(COUNTIF(C7,""),"",L41*J40)</f>
        <v>#VALUE!</v>
      </c>
      <c r="P41" s="2"/>
    </row>
    <row r="42" spans="1:16" x14ac:dyDescent="0.25">
      <c r="A42" s="77" t="str">
        <f>IF(COUNTIF(A32,"_"),"",IF(OR(COUNTIF(A32,"1.*"),COUNTIF(A32,"2.*"),COUNTIF(A32,"4.*")),IF(OR(COUNTIF(J9,"1.*"),COUNTIF(J9,"6.*")),"AP 1 Early Retirement Factor:",""),""))</f>
        <v/>
      </c>
      <c r="D42" s="113" t="str">
        <f>IF(OR(COUNTIF(A32,"1.*"),COUNTIF(A32,"2.*"),COUNTIF(A32,"4.*")),IF(OR(COUNTIF(J9,"1.*"),COUNTIF(J9,"6.*")),IF(DATEDIF(C3,C5,"m")&lt;=600,(DATEDIF(C3,C5,"m")-540)*0.1%+40%,IF(DATEDIF(C3,C5,"m")&lt;=660,(DATEDIF(C3,C5,"m")-600)*0.2%+46%,IF((DATEDIF(C3,C5,"m")-660)*0.5%+58%&gt;=100%,100%,(DATEDIF(C3,C5,"m")-660)*0.5%+58%))),""),"")</f>
        <v/>
      </c>
      <c r="E42" s="77" t="str">
        <f>IF(COUNTIF(E32,"_"),"",IF(OR(COUNTIF(E32,"1.*"),COUNTIF(E32,"2.*"),COUNTIF(E32,"4.*")),IF(OR(COUNTIF(J9,"1.*"),COUNTIF(J9,"6.*")),"AP 2 Early Retirement Factor:",""),""))</f>
        <v/>
      </c>
      <c r="H42" s="113" t="str">
        <f>IF(OR(COUNTIF(E32,"1.*"),COUNTIF(E32,"2.*"),COUNTIF(E32,"4.*")),IF(OR(COUNTIF(J9,"1.*"),COUNTIF(J9,"6.*")),IF(DATEDIF(C3,C5,"m")&lt;=600,(DATEDIF(C3,C5,"m")-540)*0.1%+40%,IF(DATEDIF(C3,C5,"m")&lt;=660,(DATEDIF(C3,C5,"m")-600)*0.2%+46%,IF((DATEDIF(C3,C5,"m")-660)*0.5%+58%&gt;=100%,100%,(DATEDIF(C3,C5,"m")-660)*0.5%+58%))),""),"")</f>
        <v/>
      </c>
      <c r="J42" s="162" t="str">
        <f>IF(COUNTIF(C7,""),"","100%")</f>
        <v>100%</v>
      </c>
      <c r="K42" s="163">
        <f>IF(COUNTIF(C7,""),"",IF(COUNTIF(J9,"4.*"),IF(COUNTIF(I8,"*Younger*"),100%-15%-(H8*0.5%),IF(100%-15%+(H8*0.5%)&gt;100%,100%,100%-15%+(H8*0.5%)))*100&amp;"% / "&amp;IF(COUNTIF(I8,"*Younger*"),100%-30%-(H8*0.5%),IF(100%-30%+(H8*0.5%)&gt;100%,100%,100%-30%+(H8*0.5%)))*100&amp;"%",IF(COUNTIF(J9,"6.*"),IF(COUNTIF(I8,"*Younger*"),100%-30%-(H8*0.5%),IF(100%-30%+(H8*0.5%)&gt;100%,100%,100%-30%+(H8*0.5%))),IF(COUNTIF(J9,"8.*"),IF(COUNTIF(I8,"*Younger*"),100%-15%-(H8*0.5%),IF(100%-15%+(H8*0.5%)&gt;100%,100%,100%-15%+(H8*0.5%)))*100&amp;"% / "&amp;IF(COUNTIF(I8,"*Younger*"),100%-30%-(H8*0.5%),IF(100%-30%+(H8*0.5%)&gt;100%,100%,100%-30%+(H8*0.5%)))*100&amp;"%",IF(COUNTIF(I8,"*Younger*"),100%-15%-(H8*0.5%),IF(100%-15%+(H8*0.5%)&gt;100%,100%,100%-15%+(H8*0.5%)))))))</f>
        <v>0.79</v>
      </c>
      <c r="L42" s="164" t="e">
        <f>IF(COUNTIF(C7,""),"",IF(COUNTIF(J9,"1.*"),(N32)*K42,IF(COUNTIF(J9,"2.*"),(N32)*K42,IF(COUNTIF(J9,"3.*"),(N32)*K42,IF(COUNTIF(J9,"5.*"),(N32)*K42,IF(COUNTIF(J9,"6.*"),(N32)*K42,IF(COUNTIF(J9,"7.*"),(N32)*K42,IF(COUNTIF(J9,"8.*"),(N11+N12)*IF(COUNTIF(I8,"*Younger*"),100%-15%-(H8*0.5%),IF(100%-15%+(H8*0.5%)&gt;100%,100%,100%-15%+(H8*0.5%)))+(N13*IF(COUNTIF(I8,"*Younger*"),100%-30%-(H8*0.5%),IF(100%-30%+(H8*0.5%)&gt;100%,100%,100%-30%+(H8*0.5%)))),IF(COUNTIF(J9,"4.*"),N11*IF(COUNTIF(I8,"*Younger*"),100%-15%-(H8*0.5%),IF(100%-15%+(H8*0.5%)&gt;100%,100%,100%-15%+(H8*0.5%)))+(N12+N13)*IF(COUNTIF(I8,"*Younger*"),100%-30%-(H8*0.5%),IF(100%-30%+(H8*0.5%)&gt;100%,100%,100%-30%+(H8*0.5%))),IF(COUNTIF(J9,"9.*"),(N32)*K42,""))))))))))</f>
        <v>#VALUE!</v>
      </c>
      <c r="M42" s="165" t="e">
        <f>IF(COUNTIF(C7,""),"",L42*J42)</f>
        <v>#VALUE!</v>
      </c>
    </row>
    <row r="43" spans="1:16" ht="14.25" thickBot="1" x14ac:dyDescent="0.3">
      <c r="A43" s="77" t="str">
        <f>IF(COUNTIF(A32,"_"),"",IF(OR(COUNTIF(A32,"1.*"),COUNTIF(A32,"2.*"),COUNTIF(A32,"4.*")),IF(OR(COUNTIF(J9,"1.*"),COUNTIF(J9,"6.*")),"AP 1 Early Benefit Prior to 09/01/2011:",""),""))</f>
        <v/>
      </c>
      <c r="D43" s="5" t="str">
        <f>IF(OR(COUNTIF(A32,"_"),COUNTIF(A32,"3.*")),"",IF(OR(COUNTIF(A32,"2.*"),COUNTIF(A32,"4.*")),IF(OR(COUNTIF(J9,"1.*"),COUNTIF(J9,"6.*")),D41*D42,""),IF(COUNTIF(A32,"1.*"),IF(OR(COUNTIF(J9,"1.*"),COUNTIF(J9,"6.*")),D41*D42,D41))))</f>
        <v/>
      </c>
      <c r="E43" s="77" t="str">
        <f>IF(COUNTIF(E32,"_"),"",IF(OR(COUNTIF(E32,"1.*"),COUNTIF(E32,"2.*"),COUNTIF(E32,"4.*")),IF(OR(COUNTIF(J9,"1.*"),COUNTIF(J9,"6.*")),"AP 2 Early Benefit Prior to 09/01/2011:",""),""))</f>
        <v/>
      </c>
      <c r="H43" s="5" t="str">
        <f>IF(OR(COUNTIF(E32,"_"),COUNTIF(E32,"3.*")),"",IF(OR(COUNTIF(E32,"2.*"),COUNTIF(E32,"4.*")),IF(OR(COUNTIF(J9,"1.*"),COUNTIF(J9,"6.*")),H41*H42,""),IF(COUNTIF(E32,"1.*"),IF(OR(COUNTIF(J9,"1.*"),COUNTIF(J9,"6.*")),H41*H42,""))))</f>
        <v/>
      </c>
      <c r="I43" s="119"/>
      <c r="J43" s="167" t="str">
        <f>IF(COUNTIF(C7,""),"","13th Check")</f>
        <v>13th Check</v>
      </c>
      <c r="K43" s="168">
        <f>IF(COUNTIF(C7,""),"",IF(COUNTIF(J9,"4.*"),IF(COUNTIF(I8,"*Younger*"),100%-15%-(H8*0.5%),IF(100%-15%+(H8*0.5%)&gt;100%,100%,100%-15%+(H8*0.5%)))*100&amp;"% / "&amp;IF(COUNTIF(I8,"*Younger*"),100%-30%-(H8*0.5%),IF(100%-30%+(H8*0.5%)&gt;100%,100%,100%-30%+(H8*0.5%)))*100&amp;"%",IF(COUNTIF(J9,"6.*"),IF(COUNTIF(I8,"*Younger*"),100%-30%-(H8*0.5%),IF(100%-30%+(H8*0.5%)&gt;100%,100%,100%-30%+(H8*0.5%))),IF(COUNTIF(J9,"8.*"),IF(COUNTIF(I8,"*Younger*"),100%-15%-(H8*0.5%),IF(100%-15%+(H8*0.5%)&gt;100%,100%,100%-15%+(H8*0.5%)))*100&amp;"% / "&amp;IF(COUNTIF(I8,"*Younger*"),100%-30%-(H8*0.5%),IF(100%-30%+(H8*0.5%)&gt;100%,100%,100%-30%+(H8*0.5%)))*100&amp;"%",IF(COUNTIF(I8,"*Younger*"),100%-15%-(H8*0.5%),IF(100%-15%+(H8*0.5%)&gt;100%,100%,100%-15%+(H8*0.5%)))))))</f>
        <v>0.79</v>
      </c>
      <c r="L43" s="169" t="e">
        <f>IF(COUNTIF(C7,""),"",IF(COUNTIF(J9,"1.*"),(N33)*K43,IF(COUNTIF(J9,"2.*"),(N33)*K43,IF(COUNTIF(J9,"3.*"),(N33)*K43,IF(COUNTIF(J9,"5.*"),(N33)*K43,IF(COUNTIF(J9,"6.*"),(N33)*K43,IF(COUNTIF(J9,"7.*"),(N33)*K43,IF(COUNTIF(J9,"8.*"),(N11+N12)*IF(COUNTIF(I8,"*Younger*"),100%-15%-(H8*0.5%),IF(100%-15%+(H8*0.5%)&gt;100%,100%,100%-15%+(H8*0.5%))),IF(COUNTIF(J9,"4.*"),N11*IF(COUNTIF(I8,"*Younger*"),100%-15%-(H8*0.5%),IF(100%-15%+(H8*0.5%)&gt;100%,100%,100%-15%+(H8*0.5%)))+(N12)*IF(COUNTIF(I8,"*Younger*"),100%-30%-(H8*0.5%),IF(100%-30%+(H8*0.5%)&gt;100%,100%,100%-30%+(H8*0.5%))),IF(COUNTIF(J9,"9.*"),(N33)*K43,""))))))))))</f>
        <v>#VALUE!</v>
      </c>
      <c r="M43" s="170" t="e">
        <f>IF(COUNTIF(C7,""),"",L43*J42)</f>
        <v>#VALUE!</v>
      </c>
    </row>
    <row r="44" spans="1:16" ht="15.75" customHeight="1" thickBot="1" x14ac:dyDescent="0.3">
      <c r="A44" s="77" t="str">
        <f>IF(COUNTIF(A32,"_"),"",IF(OR(COUNTIF(A32,"1.*"),COUNTIF(A32,"2.*"),COUNTIF(A32,"4.*")),"AP 1 Full Benefit on 09/01/2011 to 09/30/2014:",""))</f>
        <v/>
      </c>
      <c r="D44" s="5" t="str">
        <f>IF(OR(COUNTIF(A32,"_"),COUNTIF(A32,"3.*")),"",IF(COUNTIF(A32,"1.*"),H22,IF(OR(COUNTIF(A32,"2.*"),COUNTIF(A32,"4.*")),IF(COUNTIF(J9,"2.*"),"",N12*D40))))</f>
        <v/>
      </c>
      <c r="E44" s="77" t="str">
        <f>IF(COUNTIF(E32,"_"),"",IF(OR(COUNTIF(E32,"1.*"),COUNTIF(E32,"2.*"),COUNTIF(E32,"4.*")),"AP 2 Full Benefit on 09/01/2011 to 09/30/2014:",""))</f>
        <v/>
      </c>
      <c r="H44" s="5" t="str">
        <f>IF(COUNTIF(E32,"_"),"",IF(OR(COUNTIF(E32,"2.*"),COUNTIF(E32,"4.*")),N12*H40,IF(COUNTIF(E32,"1.*"),I22,"")))</f>
        <v/>
      </c>
      <c r="J44" s="540" t="str">
        <f>IF(COUNTIF(C7,""),"",IF(OR(COUNTIF(J9,"1.*"),COUNTIF(J9,"3.*"),COUNTIF(J9,"7.*")),"Pension Benefit Deferred at Age 65 H&amp;W Options",""))</f>
        <v>Pension Benefit Deferred at Age 65 H&amp;W Options</v>
      </c>
      <c r="K44" s="541"/>
      <c r="L44" s="541"/>
      <c r="M44" s="542"/>
    </row>
    <row r="45" spans="1:16" x14ac:dyDescent="0.25">
      <c r="A45" s="77" t="str">
        <f>IF(COUNTIF(A32,"_"),"",IF(OR(COUNTIF(A32,"1.*"),COUNTIF(A32,"2.*"),COUNTIF(A32,"4.*")),IF(OR(COUNTIF(J9,"1.*"),COUNTIF(J9,"3.*"),COUNTIF(J9,"4.*"),COUNTIF(J9,"6.*")),"AP 1 Early Retirement Factor:",""),""))</f>
        <v/>
      </c>
      <c r="D45" s="113" t="str">
        <f>IF(OR(COUNTIF(A32,"1.*"),COUNTIF(A32,"2.*"),COUNTIF(A32,"4.*")),IF(OR(COUNTIF(J9,"1.*"),COUNTIF(J9,"3.*"),COUNTIF(J9,"4.*"),COUNTIF(J9,"6.*")),IF(DATEDIF(C3,C5,"m")&lt;=600,(DATEDIF(C3,C5,"m")-540)*0.1%+22%,IF(DATEDIF(C3,C5,"m")&lt;=660,(DATEDIF(C3,C5,"m")-600)*0.2%+28%,IF((DATEDIF(C3,C5,"m")-660)*0.5%+40%&gt;=100%,100%,(DATEDIF(C3,C5,"m")-660)*0.5%+40%))),""),"")</f>
        <v/>
      </c>
      <c r="E45" s="77" t="str">
        <f>IF(COUNTIF(E32,"_"),"",IF(OR(COUNTIF(E32,"1.*"),COUNTIF(E32,"2.*"),COUNTIF(E32,"4.*")),IF(OR(COUNTIF(J9,"1.*"),COUNTIF(J9,"3.*"),COUNTIF(J9,"4.*"),COUNTIF(J9,"6.*")),"AP 2 Early Retirement Factor:",""),""))</f>
        <v/>
      </c>
      <c r="H45" s="113" t="str">
        <f>IF(OR(COUNTIF(E32,"1.*"),COUNTIF(E32,"2.*"),COUNTIF(E32,"4.*")),IF(OR(COUNTIF(J9,"1.*"),COUNTIF(J9,"3.*"),COUNTIF(J9,"4.*"),COUNTIF(J9,"6.*")),IF(DATEDIF(C3,C5,"m")&lt;=600,(DATEDIF(C3,C5,"m")-540)*0.1%+22%,IF(DATEDIF(C3,C5,"m")&lt;=660,(DATEDIF(C3,C5,"m")-600)*0.2%+28%,IF((DATEDIF(C3,C5,"m")-660)*0.5%+40%&gt;=100%,100%,(DATEDIF(C3,C5,"m")-660)*0.5%+40%))),""),"")</f>
        <v/>
      </c>
      <c r="I45" s="2"/>
      <c r="J45" s="11" t="str">
        <f>IF(COUNTIF(C7,""),"",IF(OR(COUNTIF(J9,"1.*"),COUNTIF(J9,"3.*"),COUNTIF(J9,"7.*")),"Option",""))</f>
        <v>Option</v>
      </c>
      <c r="K45" s="80" t="str">
        <f>IF(COUNTIF(C7,""),"",IF(OR(COUNTIF(J9,"1.*"),COUNTIF(J9,"3.*"),COUNTIF(J9,"7.*")),"Factor",""))</f>
        <v>Factor</v>
      </c>
      <c r="L45" s="80" t="str">
        <f>IF(COUNTIF(C7,""),"",IF(OR(COUNTIF(J9,"1.*"),COUNTIF(J9,"3.*"),COUNTIF(J9,"7.*")),"Member Benefit",""))</f>
        <v>Member Benefit</v>
      </c>
      <c r="M45" s="103" t="str">
        <f>IF(COUNTIF(C7,""),"",IF(OR(COUNTIF(J9,"1.*"),COUNTIF(J9,"3.*"),COUNTIF(J9,"7.*")),"Spouse Benefit",""))</f>
        <v>Spouse Benefit</v>
      </c>
    </row>
    <row r="46" spans="1:16" x14ac:dyDescent="0.25">
      <c r="A46" s="77" t="str">
        <f>IF(COUNTIF(A32,"_"),"",IF(OR(COUNTIF(A32,"1.*"),COUNTIF(A32,"2.*"),COUNTIF(A32,"4.*")),IF(OR(COUNTIF(J9,"1.*"),COUNTIF(J9,"3.*"),COUNTIF(J9,"4.*"),COUNTIF(J9,"6.*")),"AP 1 Early Benefit from 09/01/2011 to 09/30/2014:",""),""))</f>
        <v/>
      </c>
      <c r="D46" s="5" t="str">
        <f>IF(COUNTIF(A32,"_"),"",IF(OR(COUNTIF(A32,"1.*"),COUNTIF(A32,"2.*"),COUNTIF(A32,"4.*")),IF(OR(COUNTIF(J9,"1.*"),COUNTIF(J9,"3.*"),COUNTIF(J9,"4.*"),COUNTIF(J9,"6.*")),D44*D45,""),""))</f>
        <v/>
      </c>
      <c r="E46" s="77" t="str">
        <f>IF(COUNTIF(E32,"_"),"",IF(OR(COUNTIF(E32,"1.*"),COUNTIF(E32,"2.*"),COUNTIF(E32,"4.*")),IF(OR(COUNTIF(J9,"1.*"),COUNTIF(J9,"3.*"),COUNTIF(J9,"4.*"),COUNTIF(J9,"6.*")),"AP 2 Early Benefit from 09/01/2011 to 09/30/2014:",""),""))</f>
        <v/>
      </c>
      <c r="H46" s="5" t="str">
        <f>IF(COUNTIF(E32,"_"),"",IF(OR(COUNTIF(E32,"1.*"),COUNTIF(E32,"2.*"),COUNTIF(E32,"4.*")),IF(OR(COUNTIF(J9,"1.*"),COUNTIF(J9,"3.*"),COUNTIF(J9,"4.*"),COUNTIF(J9,"6.*")),H44*H45,""),""))</f>
        <v/>
      </c>
      <c r="J46" s="162" t="str">
        <f>IF(COUNTIF(C7,""),"",IF(OR(COUNTIF(J9,"1.*"),COUNTIF(J9,"3.*"),COUNTIF(J9,"7.*")),"50%",""))</f>
        <v>50%</v>
      </c>
      <c r="K46" s="163">
        <f>IF(COUNTIF(C7,""),"",IF(OR(COUNTIF(J9,"1.*"),COUNTIF(J9,"3.*"),COUNTIF(J9,"7.*")),IF(COUNTIF(I8,"*Younger*"),100%-8%-(H8*0.4%),IF(100%-8%+(H8*0.4%)&gt;100%,100%,100%-8%+(H8*0.4%))),""))</f>
        <v>0.872</v>
      </c>
      <c r="L46" s="164" t="e">
        <f>IF(COUNTIF(C7,""),"",IF(OR(COUNTIF(J9,"1.*"),COUNTIF(J9,"3.*"),COUNTIF(J9,"7.*")),(N34)*K46,""))</f>
        <v>#VALUE!</v>
      </c>
      <c r="M46" s="165" t="e">
        <f>IF(COUNTIF(C7,""),"",IF(OR(COUNTIF(J9,"1.*"),COUNTIF(J9,"3.*"),COUNTIF(J9,"7.*")),L46*J46,""))</f>
        <v>#VALUE!</v>
      </c>
    </row>
    <row r="47" spans="1:16" x14ac:dyDescent="0.25">
      <c r="A47" s="77" t="str">
        <f>IF(COUNTIF(A32,"_"),"",IF(OR(COUNTIF(A32,"1.*"),COUNTIF(A32,"2.*"),COUNTIF(A32,"4.*")),"AP 1 Full Benefit After 10/01/2014:",""))</f>
        <v/>
      </c>
      <c r="D47" s="5" t="str">
        <f>IF(OR(COUNTIF(A32,"_"),COUNTIF(A32,"3.*")),"",IF(COUNTIF(A32,"1.*"),H30,IF(OR(COUNTIF(A32,"2.*"),COUNTIF(A32,"4.*")),IF(COUNTIF(J9,"2.*"),"",N13*D40))))</f>
        <v/>
      </c>
      <c r="E47" s="77" t="str">
        <f>IF(COUNTIF(E32,"_"),"",IF(OR(COUNTIF(E32,"1.*"),COUNTIF(E32,"2.*"),COUNTIF(E32,"4.*")),"AP 2 Full Benefit After 10/01/2014:",""))</f>
        <v/>
      </c>
      <c r="H47" s="5" t="str">
        <f>IF(COUNTIF(E32,"_"),"",IF(OR(COUNTIF(E32,"2.*"),COUNTIF(E32,"4.*")),N13*H40,IF(COUNTIF(E32,"1.*"),I30,"")))</f>
        <v/>
      </c>
      <c r="J47" s="166" t="str">
        <f>IF(COUNTIF(C7,""),"",IF(OR(COUNTIF(J9,"1.*"),COUNTIF(J9,"3.*"),COUNTIF(J9,"7.*")),"13th Check",""))</f>
        <v>13th Check</v>
      </c>
      <c r="K47" s="163">
        <f>IF(COUNTIF(C7,""),"",IF(OR(COUNTIF(J9,"1.*"),COUNTIF(J9,"3.*"),COUNTIF(J9,"7.*")),IF(COUNTIF(I8,"*Younger*"),100%-8%-(H8*0.4%),IF(100%-8%+(H8*0.4%)&gt;100%,100%,100%-8%+(H8*0.4%))),""))</f>
        <v>0.872</v>
      </c>
      <c r="L47" s="164" t="e">
        <f>IF(COUNTIF(C7,""),"",IF(OR(COUNTIF(J9,"1.*"),COUNTIF(J9,"3.*"),COUNTIF(J9,"7.*")),(N35)*K47,""))</f>
        <v>#VALUE!</v>
      </c>
      <c r="M47" s="165" t="e">
        <f>IF(COUNTIF(C7,""),"",IF(OR(COUNTIF(J9,"1.*"),COUNTIF(J9,"3.*"),COUNTIF(J9,"7.*")),L47*J46,""))</f>
        <v>#VALUE!</v>
      </c>
    </row>
    <row r="48" spans="1:16" x14ac:dyDescent="0.25">
      <c r="A48" s="77" t="str">
        <f>IF(COUNTIF(A32,"_"),"",IF(OR(COUNTIF(A32,"1.*"),COUNTIF(A32,"2.*"),COUNTIF(A32,"4.*")),IF(OR(COUNTIF(J9,"1.*"),COUNTIF(J9,"3.*"),COUNTIF(J9,"4.*"),COUNTIF(J9,"6.*"),COUNTIF(J9,"7.*"),COUNTIF(J9,"8.*")),"AP 1 Early Retirement Factor:",""),""))</f>
        <v/>
      </c>
      <c r="D48" s="113" t="str">
        <f>IF(OR(COUNTIF(A32,"1.*"),COUNTIF(A32,"2.*"),COUNTIF(A32,"4.*")),IF(OR(COUNTIF(J9,"1.*"),COUNTIF(J9,"3.*"),COUNTIF(J9,"4.*"),COUNTIF(J9,"6.*"),COUNTIF(J9,"7.*"),COUNTIF(J9,"8.*")),IF(DATEDIF(C3,C5,"m")&lt;=600,(DATEDIF(C3,C5,"m")-540)*0.1%+22%,IF(DATEDIF(C3,C5,"m")&lt;=660,(DATEDIF(C3,C5,"m")-600)*0.2%+28%,IF((DATEDIF(C3,C5,"m")-660)*0.5%+40%&gt;=100%,100%,(DATEDIF(C3,C5,"m")-660)*0.5%+40%))),""),"")</f>
        <v/>
      </c>
      <c r="E48" s="77" t="str">
        <f>IF(COUNTIF(E32,"_"),"",IF(OR(COUNTIF(E32,"1.*"),COUNTIF(E32,"2.*"),COUNTIF(E32,"4.*")),IF(OR(COUNTIF(J9,"1.*"),COUNTIF(J9,"3.*"),COUNTIF(J9,"4.*"),COUNTIF(J9,"6.*"),COUNTIF(J9,"7.*"),COUNTIF(J9,"8.*")),"AP 2 Early Retirement Factor:",""),""))</f>
        <v/>
      </c>
      <c r="H48" s="113" t="str">
        <f>IF(OR(COUNTIF(E32,"1.*"),COUNTIF(E32,"2.*"),COUNTIF(E32,"4.*")),IF(OR(COUNTIF(J9,"1.*"),COUNTIF(J9,"3.*"),COUNTIF(J9,"4.*"),COUNTIF(J9,"6.*"),COUNTIF(J9,"7.*"),COUNTIF(J9,"8.*")),IF(DATEDIF(C3,C5,"m")&lt;=600,(DATEDIF(C3,C5,"m")-540)*0.1%+22%,IF(DATEDIF(C3,C5,"m")&lt;=660,(DATEDIF(C3,C5,"m")-600)*0.2%+28%,IF((DATEDIF(C3,C5,"m")-660)*0.5%+40%&gt;=100%,100%,(DATEDIF(C3,C5,"m")-660)*0.5%+40%))),""),"")</f>
        <v/>
      </c>
      <c r="J48" s="166" t="str">
        <f>IF(COUNTIF(C7,""),"",IF(OR(COUNTIF(J9,"1.*"),COUNTIF(J9,"3.*"),COUNTIF(J9,"7.*")),"75%",""))</f>
        <v>75%</v>
      </c>
      <c r="K48" s="171">
        <f>IF(COUNTIF(C7,""),"",IF(OR(COUNTIF(J9,"1.*"),COUNTIF(J9,"3.*"),COUNTIF(J9,"7.*")),IF(COUNTIF(I8,"*Younger*"),100%-12%-(H8*0.4%),IF(100%-12%+(H8*0.4%)&gt;100%,100%,100%-12%+(H8*0.4%))),""))</f>
        <v>0.83199999999999996</v>
      </c>
      <c r="L48" s="164" t="e">
        <f>IF(COUNTIF(C7,""),"",IF(OR(COUNTIF(J9,"1.*"),COUNTIF(J9,"3.*"),COUNTIF(J9,"7.*")),(N34)*K48,""))</f>
        <v>#VALUE!</v>
      </c>
      <c r="M48" s="165" t="e">
        <f>IF(COUNTIF(C7,""),"",IF(OR(COUNTIF(J9,"1.*"),COUNTIF(J9,"3.*"),COUNTIF(J9,"7.*")),L48*J48,""))</f>
        <v>#VALUE!</v>
      </c>
    </row>
    <row r="49" spans="1:13" x14ac:dyDescent="0.25">
      <c r="A49" s="77" t="str">
        <f>IF(COUNTIF(A32,"_"),"",IF(OR(COUNTIF(A32,"1.*"),COUNTIF(A32,"2.*"),COUNTIF(A32,"4.*")),IF(OR(COUNTIF(J9,"1.*"),COUNTIF(J9,"3.*"),COUNTIF(J9,"4.*"),COUNTIF(J9,"6.*"),COUNTIF(J9,"7.*"),COUNTIF(J9,"8.*")),"AP 1 Early Benefit on and after 10/01/2014:",""),""))</f>
        <v/>
      </c>
      <c r="D49" s="5" t="str">
        <f>IF(OR(COUNTIF(A32,"1.*"),COUNTIF(A32,"2.*"),COUNTIF(A32,"4.*")),IF(OR(COUNTIF(J9,"1.*"),COUNTIF(J9,"3.*"),COUNTIF(J9,"4.*"),COUNTIF(J9,"6.*"),COUNTIF(J9,"7.*"),COUNTIF(J9,"8.*")),D47*D48,""),"")</f>
        <v/>
      </c>
      <c r="E49" s="77" t="str">
        <f>IF(COUNTIF(E32,"_"),"",IF(OR(COUNTIF(E32,"1.*"),COUNTIF(E32,"2.*"),COUNTIF(E32,"4.*")),IF(OR(COUNTIF(J9,"1.*"),COUNTIF(J9,"3.*"),COUNTIF(J9,"4.*"),COUNTIF(J9,"6.*"),COUNTIF(J9,"7.*"),COUNTIF(J9,"8.*")),"AP 2 Early Benefit on and after 10/01/2014:",""),""))</f>
        <v/>
      </c>
      <c r="H49" s="5" t="str">
        <f>IF(OR(COUNTIF(E32,"1.*"),COUNTIF(E32,"2.*"),COUNTIF(E32,"4.*")),IF(OR(COUNTIF(J9,"1.*"),COUNTIF(J9,"3.*"),COUNTIF(J9,"4.*"),COUNTIF(J9,"6.*"),COUNTIF(J9,"7.*"),COUNTIF(J9,"8.*")),H47*H48,""),"")</f>
        <v/>
      </c>
      <c r="J49" s="162" t="str">
        <f>IF(COUNTIF(C7,""),"",IF(OR(COUNTIF(J9,"1.*"),COUNTIF(J9,"3.*"),COUNTIF(J9,"7.*")),"13th Check",""))</f>
        <v>13th Check</v>
      </c>
      <c r="K49" s="163">
        <f>IF(COUNTIF(C7,""),"",IF(OR(COUNTIF(J9,"1.*"),COUNTIF(J9,"3.*"),COUNTIF(J9,"7.*")),IF(COUNTIF(I8,"*Younger*"),100%-12%-(H8*0.4%),IF(100%-12%+(H8*0.4%)&gt;100%,100%,100%-12%+(H8*0.4%))),""))</f>
        <v>0.83199999999999996</v>
      </c>
      <c r="L49" s="164" t="e">
        <f>IF(COUNTIF(C7,""),"",IF(OR(COUNTIF(J9,"1.*"),COUNTIF(J9,"3.*"),COUNTIF(J9,"7.*")),(N35)*K49,""))</f>
        <v>#VALUE!</v>
      </c>
      <c r="M49" s="165" t="e">
        <f>IF(COUNTIF(C7,""),"",IF(OR(COUNTIF(J9,"1.*"),COUNTIF(J9,"3.*"),COUNTIF(J9,"7.*")),L49*J48,""))</f>
        <v>#VALUE!</v>
      </c>
    </row>
    <row r="50" spans="1:13" x14ac:dyDescent="0.25">
      <c r="A50" s="77" t="str">
        <f>IF(COUNTIF(A32,"_"),"",IF(OR(COUNTIF(A32,"1.*"),COUNTIF(A32,"2.*"),COUNTIF(A32,"4.*")),"AP 1 Total Monthly Benefit:",""))</f>
        <v/>
      </c>
      <c r="D50" s="5" t="str">
        <f>IF(COUNTIF(A32,"_"),"",IF(OR(COUNTIF(A32,"1.*"),COUNTIF(A32,"2.*"),COUNTIF(A32,"4.*")),IF(OR(COUNTIF(J9,"1.*"),COUNTIF(J9,"6.*")),SUM(D43,D46,D49),IF(OR(COUNTIF(J9,"3.*"),COUNTIF(J9,"4.*"),COUNTIF(J9,"6.*")),SUM(D41,D46,D49),IF(OR(COUNTIF(J9,"7.*"),COUNTIF(J9,"8.*")),SUM(D41,D44,D49),SUM(D41,D44,D47)))),""))</f>
        <v/>
      </c>
      <c r="E50" s="77" t="str">
        <f>IF(COUNTIF(E32,"_"),"",IF(OR(COUNTIF(E32,"1.*"),COUNTIF(E32,"2.*"),COUNTIF(E32,"4.*")),"AP 2 Total Monthly Benefit:",""))</f>
        <v/>
      </c>
      <c r="H50" s="5" t="str">
        <f>IF(COUNTIF(E32,"_"),"",IF(OR(COUNTIF(E32,"1.*"),COUNTIF(E32,"2.*"),COUNTIF(E32,"4.*")),IF(OR(COUNTIF(J9,"1.*"),COUNTIF(J9,"6.*")),SUM(H43,H46,H49),IF(OR(COUNTIF(J9,"3.*"),COUNTIF(J9,"4.*"),COUNTIF(J9,"6.*")),SUM(H41,H46,H49),IF(OR(COUNTIF(J9,"7.*"),COUNTIF(J9,"8.*")),SUM(H41,H44,H49),SUM(H41,H44,H47)))),""))</f>
        <v/>
      </c>
      <c r="J50" s="166" t="str">
        <f>IF(COUNTIF(C7,""),"",IF(OR(COUNTIF(J9,"1.*"),COUNTIF(J9,"3.*"),COUNTIF(J9,"7.*")),"100%",""))</f>
        <v>100%</v>
      </c>
      <c r="K50" s="163">
        <f>IF(COUNTIF(C7,""),"",IF(OR(COUNTIF(J9,"1.*"),COUNTIF(J9,"3.*"),COUNTIF(J9,"7.*")),IF(COUNTIF(I8,"*Younger*"),100%-15%-(H8*0.5%),IF(100%-15%+(H8*0.5%)&gt;100%,100%,100%-15%+(H8*0.5%))),""))</f>
        <v>0.79</v>
      </c>
      <c r="L50" s="164" t="e">
        <f>IF(COUNTIF(C7,""),"",IF(OR(COUNTIF(J9,"1.*"),COUNTIF(J9,"3.*"),COUNTIF(J9,"7.*")),(N34)*K50,""))</f>
        <v>#VALUE!</v>
      </c>
      <c r="M50" s="165" t="e">
        <f>IF(COUNTIF(C7,""),"",IF(OR(COUNTIF(J9,"1.*"),COUNTIF(J9,"3.*"),COUNTIF(J9,"7.*")),L50*J50,""))</f>
        <v>#VALUE!</v>
      </c>
    </row>
    <row r="51" spans="1:13" ht="14.25" thickBot="1" x14ac:dyDescent="0.3">
      <c r="A51" s="139" t="str">
        <f>IF(COUNTIF(A32,"_"),"",IF(OR(COUNTIF(A32,"1.*"),COUNTIF(A32,"2.*"),COUNTIF(A32,"4.*")),"AP 1 13th Check:",""))</f>
        <v/>
      </c>
      <c r="B51" s="19"/>
      <c r="C51" s="19"/>
      <c r="D51" s="85" t="str">
        <f>IF(OR(COUNTIF(A32,"_"),COUNTIF(A32,"3.*")),"",IF(OR(COUNTIF(A32,"1.*"),COUNTIF(A32,"2.*"),COUNTIF(A32,"4.*")),IF(OR(COUNTIF(J9,"1.*"),COUNTIF(J9,"6.*")),SUM(D43,D46),IF(OR(COUNTIF(J9,"3.*"),COUNTIF(J9,"4.*"),COUNTIF(J9,"6.*")),SUM(D41,D46),IF(OR(COUNTIF(J9,"7.*"),COUNTIF(J9,"8.*")),SUM(D41,D44),SUM(D41,D44))))))</f>
        <v/>
      </c>
      <c r="E51" s="139" t="str">
        <f>IF(COUNTIF(E32,"_"),"",IF(OR(COUNTIF(E32,"1.*"),COUNTIF(E32,"2.*"),COUNTIF(E32,"4.*")),"AP 2 13th Check:",""))</f>
        <v/>
      </c>
      <c r="F51" s="19"/>
      <c r="G51" s="19"/>
      <c r="H51" s="85" t="str">
        <f>IF(OR(COUNTIF(E32,"_"),COUNTIF(E32,"3.*")),"",IF(OR(COUNTIF(E32,"1.*"),COUNTIF(E32,"2.*"),COUNTIF(E32,"4.*")),IF(OR(COUNTIF(J9,"1.*"),COUNTIF(J9,"6.*")),SUM(H43,H46),IF(OR(COUNTIF(J9,"3.*"),COUNTIF(J9,"4.*"),COUNTIF(J9,"6.*")),SUM(H41,H46),IF(OR(COUNTIF(J9,"7.*"),COUNTIF(J9,"8.*")),SUM(H41,H44),SUM(H41,H44))))))</f>
        <v/>
      </c>
      <c r="J51" s="172" t="str">
        <f>IF(COUNTIF(C7,""),"",IF(OR(COUNTIF(J9,"1.*"),COUNTIF(J9,"3.*"),COUNTIF(J9,"7.*")),"13th Check",""))</f>
        <v>13th Check</v>
      </c>
      <c r="K51" s="168">
        <f>IF(COUNTIF(C7,""),"",IF(OR(COUNTIF(J9,"1.*"),COUNTIF(J9,"3.*"),COUNTIF(J9,"7.*")),IF(COUNTIF(I8,"*Younger*"),100%-15%-(H8*0.5%),IF(100%-15%+(H8*0.5%)&gt;100%,100%,100%-15%+(H8*0.5%))),""))</f>
        <v>0.79</v>
      </c>
      <c r="L51" s="169" t="e">
        <f>IF(COUNTIF(C7,""),"",IF(OR(COUNTIF(J9,"1.*"),COUNTIF(J9,"3.*"),COUNTIF(J9,"7.*")),(N35)*K51,""))</f>
        <v>#VALUE!</v>
      </c>
      <c r="M51" s="170" t="e">
        <f>IF(COUNTIF(C7,""),"",IF(OR(COUNTIF(J9,"1.*"),COUNTIF(J9,"3.*"),COUNTIF(J9,"7.*")),L51*J50,""))</f>
        <v>#VALUE!</v>
      </c>
    </row>
  </sheetData>
  <mergeCells count="16">
    <mergeCell ref="A9:I9"/>
    <mergeCell ref="J9:N9"/>
    <mergeCell ref="A1:N1"/>
    <mergeCell ref="F2:G2"/>
    <mergeCell ref="M2:N2"/>
    <mergeCell ref="M4:N4"/>
    <mergeCell ref="E8:G8"/>
    <mergeCell ref="J36:M36"/>
    <mergeCell ref="J44:M44"/>
    <mergeCell ref="J10:N10"/>
    <mergeCell ref="A19:I19"/>
    <mergeCell ref="A23:I23"/>
    <mergeCell ref="A32:D32"/>
    <mergeCell ref="E32:H32"/>
    <mergeCell ref="A33:D33"/>
    <mergeCell ref="E33:H33"/>
  </mergeCells>
  <dataValidations count="2">
    <dataValidation type="list" allowBlank="1" showInputMessage="1" showErrorMessage="1" sqref="A32:H32" xr:uid="{EBBF85FB-E5B2-4097-88F5-D6CFAA8755E0}">
      <formula1>"_,1. % Earned During Marriage,2. Brown Formula,3. AP in Pay Status, 4. QDRO by Months"</formula1>
    </dataValidation>
    <dataValidation type="list" allowBlank="1" showInputMessage="1" showErrorMessage="1" promptTitle="Pension Type" sqref="J9:N9" xr:uid="{E6F316E8-3ED7-4591-A332-4A5397134E1F}">
      <formula1>"1. Early Retirement Pension, 2. Regular at 62, 3. Regular at 62 &amp; Early, 4. Regular at 62 &amp; Disability, 5. Regular at 65, 6. Disability Pension, 7. Service Pension Pre-Age 55 &amp; Early, 8. Service Pension Pre-Age 55 &amp; Disability Pension, 9. Service Pension"</formula1>
    </dataValidation>
  </dataValidations>
  <pageMargins left="0.1" right="0.1" top="0.1" bottom="0.1" header="0.3" footer="0.3"/>
  <pageSetup scale="7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9C7F-0F38-485A-94E2-77FBD0CBB84C}">
  <dimension ref="A1:V261"/>
  <sheetViews>
    <sheetView zoomScaleNormal="100" workbookViewId="0">
      <selection activeCell="O12" sqref="O12"/>
    </sheetView>
  </sheetViews>
  <sheetFormatPr defaultColWidth="9.140625" defaultRowHeight="13.5" x14ac:dyDescent="0.25"/>
  <cols>
    <col min="1" max="1" width="9.140625" style="1"/>
    <col min="2" max="2" width="11.28515625" style="1" bestFit="1" customWidth="1"/>
    <col min="3" max="3" width="16.42578125" style="1" customWidth="1"/>
    <col min="4" max="4" width="12.140625" style="1" customWidth="1"/>
    <col min="5" max="5" width="9.42578125" style="1" customWidth="1"/>
    <col min="6" max="6" width="10.85546875" style="1" customWidth="1"/>
    <col min="7" max="7" width="16" style="1" customWidth="1"/>
    <col min="8" max="8" width="11.85546875" style="1" customWidth="1"/>
    <col min="9" max="9" width="9.42578125" style="1" customWidth="1"/>
    <col min="10" max="10" width="13.140625" style="1" customWidth="1"/>
    <col min="11" max="11" width="10.7109375" style="1" customWidth="1"/>
    <col min="12" max="12" width="11.5703125" style="1" bestFit="1" customWidth="1"/>
    <col min="13" max="13" width="17.7109375" style="1" customWidth="1"/>
    <col min="14" max="14" width="12.7109375" style="1" bestFit="1" customWidth="1"/>
    <col min="15" max="15" width="10.85546875" style="1" bestFit="1" customWidth="1"/>
    <col min="16" max="16" width="11.85546875" style="1" hidden="1" customWidth="1"/>
    <col min="17" max="17" width="12.85546875" style="1" hidden="1" customWidth="1"/>
    <col min="18" max="18" width="13.85546875" style="1" hidden="1" customWidth="1"/>
    <col min="19" max="19" width="13.140625" style="1" customWidth="1"/>
    <col min="20" max="20" width="15.85546875" style="1" customWidth="1"/>
    <col min="21" max="21" width="11.85546875" style="1" bestFit="1" customWidth="1"/>
    <col min="22" max="22" width="13.42578125" style="1" bestFit="1" customWidth="1"/>
    <col min="23" max="23" width="12.7109375" style="1" bestFit="1" customWidth="1"/>
    <col min="24" max="16384" width="9.140625" style="1"/>
  </cols>
  <sheetData>
    <row r="1" spans="1:22" ht="14.45" customHeight="1" x14ac:dyDescent="0.25">
      <c r="A1" s="531" t="s">
        <v>100</v>
      </c>
      <c r="B1" s="531"/>
      <c r="C1" s="531"/>
      <c r="D1" s="531"/>
      <c r="E1" s="531"/>
      <c r="F1" s="531"/>
      <c r="G1" s="531"/>
      <c r="H1" s="531"/>
      <c r="I1" s="531"/>
      <c r="J1" s="531"/>
      <c r="K1" s="531" t="s">
        <v>100</v>
      </c>
      <c r="L1" s="531"/>
      <c r="M1" s="531"/>
      <c r="N1" s="531"/>
      <c r="O1" s="531"/>
      <c r="P1" s="101"/>
      <c r="Q1" s="101"/>
      <c r="R1" s="101"/>
      <c r="S1" s="101"/>
    </row>
    <row r="2" spans="1:22" x14ac:dyDescent="0.25">
      <c r="A2" s="1" t="s">
        <v>1</v>
      </c>
      <c r="C2" s="118" t="s">
        <v>320</v>
      </c>
      <c r="D2" s="98"/>
      <c r="F2" s="1" t="s">
        <v>0</v>
      </c>
      <c r="G2" s="666" t="s">
        <v>321</v>
      </c>
      <c r="H2" s="666"/>
      <c r="L2" s="78" t="s">
        <v>30</v>
      </c>
      <c r="M2" s="109" t="s">
        <v>102</v>
      </c>
      <c r="N2" s="78"/>
      <c r="O2" s="78"/>
    </row>
    <row r="3" spans="1:22" x14ac:dyDescent="0.25">
      <c r="A3" s="1" t="s">
        <v>6</v>
      </c>
      <c r="C3" s="14">
        <v>28968</v>
      </c>
      <c r="G3" s="119"/>
      <c r="I3" s="119"/>
    </row>
    <row r="4" spans="1:22" x14ac:dyDescent="0.25">
      <c r="A4" s="1" t="s">
        <v>2</v>
      </c>
      <c r="C4" s="20" t="str">
        <f>DATEDIF(C3,C5,"y")&amp;"/"&amp;(DATEDIF(C3,C5, "m") - (DATEDIF(C3,C5, "y") * 12))</f>
        <v>65/0</v>
      </c>
      <c r="F4" s="1" t="str">
        <f>IF(COUNTIF(K9,"10.*"),"Date Member turned 65:","")</f>
        <v/>
      </c>
      <c r="G4" s="20"/>
      <c r="H4" s="95" t="str">
        <f>IF(COUNTIF(K9, "10.*"),EDATE(C3,65*12),"")</f>
        <v/>
      </c>
      <c r="I4" s="20"/>
      <c r="L4" s="78" t="s">
        <v>92</v>
      </c>
      <c r="M4" s="108">
        <f ca="1">TODAY()</f>
        <v>46164</v>
      </c>
      <c r="N4" s="178"/>
      <c r="O4" s="178"/>
    </row>
    <row r="5" spans="1:22" x14ac:dyDescent="0.25">
      <c r="A5" s="1" t="s">
        <v>7</v>
      </c>
      <c r="C5" s="14">
        <v>52718</v>
      </c>
      <c r="F5" s="1" t="str">
        <f>IF(DATEDIF(C3,C5,"m")&gt;=846,"Date Member turned 70 1/2:","")</f>
        <v/>
      </c>
      <c r="G5" s="119"/>
      <c r="H5" s="1" t="str">
        <f>IF(DATEDIF(C3,C5,"m")&gt;=846,EDATE(C3,70*12+6),"")</f>
        <v/>
      </c>
      <c r="I5" s="119"/>
    </row>
    <row r="6" spans="1:22" x14ac:dyDescent="0.25">
      <c r="A6" s="1" t="s">
        <v>3</v>
      </c>
      <c r="C6" s="666"/>
      <c r="D6" s="666"/>
      <c r="G6" s="2"/>
      <c r="I6" s="2"/>
      <c r="J6" s="2"/>
      <c r="K6" s="2"/>
      <c r="L6" s="78" t="s">
        <v>31</v>
      </c>
      <c r="M6" s="78"/>
      <c r="N6" s="78"/>
      <c r="O6" s="78"/>
    </row>
    <row r="7" spans="1:22" x14ac:dyDescent="0.25">
      <c r="A7" s="1" t="s">
        <v>5</v>
      </c>
      <c r="C7" s="14"/>
    </row>
    <row r="8" spans="1:22" ht="14.65" customHeight="1" thickBot="1" x14ac:dyDescent="0.3">
      <c r="A8" s="19" t="s">
        <v>4</v>
      </c>
      <c r="B8" s="19"/>
      <c r="C8" s="20" t="str">
        <f>IF(COUNTIF(C7,""),"",DATEDIF(C7,C5,"y")&amp;"/"&amp;(DATEDIF(C7,C5,"m")-(DATEDIF(C7,C5,"y")*12)))</f>
        <v/>
      </c>
      <c r="F8" s="539" t="str">
        <f>IF(C7=0,"","Spouse Age Difference from Member:")</f>
        <v/>
      </c>
      <c r="G8" s="539"/>
      <c r="H8" s="539"/>
      <c r="I8" s="12" t="str">
        <f>IF(C7=0,"",IF(AND(C3-C7&lt;0,(DATEDIF(C3,C5,"m")-(DATEDIF(C3,C5,"y")*12))-(DATEDIF(C7,C5,"m")-(DATEDIF(C7,C5,"y")*12))=0),DATEDIF(C3,C5,"y")-DATEDIF(C7,C5,"y"),IF(AND(C3-C7&gt;0,(DATEDIF(C7,C5,"m")-(DATEDIF(C7,C5,"y")*12))-(DATEDIF(C3,C5,"m")-(DATEDIF(C3,C5,"y")*12))=0),DATEDIF(C7,C5,"y")-DATEDIF(C3,C5,"y"),IF(C3-C7&lt;0,ROUNDDOWN(YEARFRAC(C3,C7),0),IF(C3-C7&gt;0,ROUNDDOWN(YEARFRAC(C7,C3),0),0)))))</f>
        <v/>
      </c>
      <c r="J8" s="1" t="str">
        <f>IF(C7=0,"",IF(I8=0,"No Difference.",IF(C3-C7&lt;0,"Year(s) Younger.", IF(C3-C7&gt;0, "Year(s) Older.","No Difference."))))</f>
        <v/>
      </c>
      <c r="L8" s="78" t="s">
        <v>92</v>
      </c>
      <c r="M8" s="78"/>
      <c r="N8" s="78"/>
      <c r="O8" s="78"/>
    </row>
    <row r="9" spans="1:22" ht="15.75" customHeight="1" thickBot="1" x14ac:dyDescent="0.3">
      <c r="A9" s="561" t="s">
        <v>8</v>
      </c>
      <c r="B9" s="562"/>
      <c r="C9" s="562"/>
      <c r="D9" s="562"/>
      <c r="E9" s="562"/>
      <c r="F9" s="562"/>
      <c r="G9" s="562"/>
      <c r="H9" s="562"/>
      <c r="I9" s="562"/>
      <c r="J9" s="563"/>
      <c r="K9" s="540" t="s">
        <v>319</v>
      </c>
      <c r="L9" s="541"/>
      <c r="M9" s="541"/>
      <c r="N9" s="541"/>
      <c r="O9" s="542"/>
      <c r="S9" s="540" t="str">
        <f>IF(COUNTIF(C7,""),"",IF(COUNTIF(K9,"1.*"),"Early Retirement H&amp;W Pension Options",IF(COUNTIF(K9,"2.*"),"Regular at 62 H&amp;W Pension Options",IF(COUNTIF(K9,"3.*"),"Regular at 62 &amp; Early H&amp;W Pension Options",IF(COUNTIF(K9,"4.*"),"Regular at 62 &amp; Disability H&amp;W Pension Options",IF(COUNTIF(K9,"5.*"),"Regular at 65 H&amp;W Pension Options",IF(COUNTIF(K9,"6.*"),"Disability H&amp;W Pension Options",IF(COUNTIF(K9,"7.*"),"Service Pre-Age 55 &amp; Early H&amp;W Pension Options",IF(COUNTIF(K9,"8.*"),"Service Pre-Age 55 &amp; Disability H&amp;W Pension Options",IF(COUNTIF(K9,"9.*"),"Service H&amp;W Pension Options",IF(COUNTIF(K9,"10.*"),"Delayed Retirement 1 H&amp;W Options","Additional H&amp;W Options")))))))))))</f>
        <v/>
      </c>
      <c r="T9" s="541"/>
      <c r="U9" s="541"/>
      <c r="V9" s="542"/>
    </row>
    <row r="10" spans="1:22" ht="30.6" customHeight="1" thickBot="1" x14ac:dyDescent="0.3">
      <c r="A10" s="190" t="s">
        <v>195</v>
      </c>
      <c r="B10" s="124" t="s">
        <v>194</v>
      </c>
      <c r="C10" s="124" t="str">
        <f>IF(COUNTIF(A39,"1.*"),"During AP 1 Marriage","")</f>
        <v/>
      </c>
      <c r="D10" s="124" t="str">
        <f>IF(COUNTIF(A39,"1.*"),"AP 1 Credits","")</f>
        <v/>
      </c>
      <c r="E10" s="124" t="str">
        <f>IF(COUNTIF(E39,"1.*"),"During AP 2 Marriage","")</f>
        <v/>
      </c>
      <c r="F10" s="124" t="str">
        <f>IF(COUNTIF(E39,"1.*"),"AP 2 Credits","")</f>
        <v/>
      </c>
      <c r="G10" s="124" t="s">
        <v>9</v>
      </c>
      <c r="H10" s="124" t="s">
        <v>182</v>
      </c>
      <c r="I10" s="124" t="str">
        <f>IF(COUNTIF(A39,"1.*"),"AP 1 Value","")</f>
        <v/>
      </c>
      <c r="J10" s="125" t="str">
        <f>IF(COUNTIF(E39,"1.*"),"AP 2 Value","")</f>
        <v/>
      </c>
      <c r="K10" s="541" t="s">
        <v>14</v>
      </c>
      <c r="L10" s="541"/>
      <c r="M10" s="541"/>
      <c r="N10" s="541"/>
      <c r="O10" s="541"/>
      <c r="S10" s="11" t="str">
        <f>IF(COUNTIF(C7,""),"","Option")</f>
        <v/>
      </c>
      <c r="T10" s="10" t="str">
        <f>IF(COUNTIF(C7,""),"","Factor")</f>
        <v/>
      </c>
      <c r="U10" s="10" t="str">
        <f>IF(COUNTIF(C7,""),"","Member Benefit")</f>
        <v/>
      </c>
      <c r="V10" s="15" t="str">
        <f>IF(COUNTIF(C7,""),"","Spouse Benefit")</f>
        <v/>
      </c>
    </row>
    <row r="11" spans="1:22" x14ac:dyDescent="0.25">
      <c r="A11" s="187"/>
      <c r="B11" s="131"/>
      <c r="C11" s="145"/>
      <c r="D11" s="137" t="str">
        <f>IF(COUNTIF(A39,"1.*"),C11*D45,"")</f>
        <v/>
      </c>
      <c r="E11" s="151"/>
      <c r="F11" s="137" t="str">
        <f>IF(COUNTIF(E39,"1.*"),E11*H45,"")</f>
        <v/>
      </c>
      <c r="G11" s="129">
        <v>90</v>
      </c>
      <c r="H11" s="126">
        <f>IF(AND(COUNTIF(A39,"1.*"),COUNTIF(E39,"1.*")),(B11*G11)-((D11*G11)+(F11*G11)),IF(COUNTIF(A39,"1.*"),(B11*G11)-(D11*G11),IF(COUNTIF(E39,"1.*"),(B11*G11)-(F11*G11),(A11+B11)*G11)))</f>
        <v>0</v>
      </c>
      <c r="I11" s="31" t="str">
        <f>IF(COUNTIF(A39,"1.*"),SUM(D11*G11),"")</f>
        <v/>
      </c>
      <c r="J11" s="133" t="str">
        <f>IF(COUNTIF(E39,"1.*"),SUM(F11*G11),"")</f>
        <v/>
      </c>
      <c r="K11" s="220" t="str">
        <f>IF(OR(A38&gt;0,A31&gt;0),"Total CIFPT Pension Credits:","")</f>
        <v>Total CIFPT Pension Credits:</v>
      </c>
      <c r="L11" s="80"/>
      <c r="M11" s="80"/>
      <c r="N11" s="80"/>
      <c r="O11" s="397">
        <f>IF(OR(A38&gt;0,A31&gt;0),'Pro-Rata Worksheet'!B5,"")</f>
        <v>10.65</v>
      </c>
      <c r="S11" s="162" t="str">
        <f>IF(COUNTIF(C7,""),"","50%")</f>
        <v/>
      </c>
      <c r="T11" s="163" t="str">
        <f>IF(COUNTIF(C7,""),"",IF(COUNTIF(K9,"4.*"),IF(COUNTIF(J8,"*Younger*"),100%-8%-(I8*0.4%),IF(100%-8%+(I8*0.4%)&gt;100%,100%,100%-8%+(I8*0.4%)))*100&amp;"% / "&amp;IF(COUNTIF(J8,"*Younger*"),100%-18%-(I8*0.4%),IF(100%-18%+(I8*0.4%)&gt;100%,100%,100%-18%+(I8*0.4%)))*100&amp;"%",IF(COUNTIF(K9,"6.*"),IF(COUNTIF(J8,"*Younger*"),100%-18%-(I8*0.4%),IF(100%-18%+(I8*0.4%)&gt;100%,100%,100%-18%+(I8*0.4%))),IF(COUNTIF(K9,"8.*"),IF(COUNTIF(J8,"*Younger*"),100%-8%-(I8*0.4%),IF(100%-8%+(I8*0.4%)&gt;100%,100%,100%-8%+(I8*0.4%)))*100&amp;"% / "&amp;IF(COUNTIF(J8,"*Younger*"),100%-18%-(I8*0.4%),IF(100%-18%+(I8*0.4%)&gt;100%,100%,100%-18%+(I8*0.4%)))*100&amp;"%",IF(COUNTIF(J8,"*Younger*"),100%-8%-(I8*0.4%),IF(100%-8%+(I8*0.4%)&gt;100%,100%,100%-8%+(I8*0.4%)))))))</f>
        <v/>
      </c>
      <c r="U11" s="164" t="str">
        <f>IF(COUNTIF(C7,""),"",IF(COUNTIF(K9,"1.*"),(O46)*T11,IF(COUNTIF(K9,"2.*"),(O46)*T11,IF(COUNTIF(K9,"3.*"),(O46)*T11,IF(COUNTIF(K9,"5.*"),(O46)*T11,IF(COUNTIF(K9,"6.*"),(O46)*T11,IF(COUNTIF(K9,"7.*"),(O46)*T11,IF(COUNTIF(K9,"8.*"),(O14+O15)*IF(COUNTIF(J8,"*Younger*"),100%-8%-(I8*0.4%),IF(100%-8%+(I8*0.4%)&gt;100%,100%,100%-8%+(I8*0.4%)))+(O16*IF(COUNTIF(J8,"*Younger*"),100%-18%-(I8*0.4%),IF(100%-18%+(I8*0.4%)&gt;100%,100%,100%-18%+(I8*0.4%)))),IF(COUNTIF(K9,"4.*"),O14*IF(COUNTIF(J8,"*Younger*"),100%-8%-(I8*0.4%),IF(100%-8%+(I8*0.4%)&gt;100%,100%,100%-8%+(I8*0.4%)))+(O15+O16)*IF(COUNTIF(J8,"*Younger*"),100%-18%-(I8*0.4%),IF(100%-18%+(I8*0.4%)&gt;100%,100%,100%-18%+(I8*0.4%))),IF(COUNTIF(K9,"9.*"),(O46)*T11,""))))))))))</f>
        <v/>
      </c>
      <c r="V11" s="165" t="str">
        <f>IF(COUNTIF(C7,""),"",U11*S11)</f>
        <v/>
      </c>
    </row>
    <row r="12" spans="1:22" x14ac:dyDescent="0.25">
      <c r="A12" s="187"/>
      <c r="B12" s="131"/>
      <c r="C12" s="145"/>
      <c r="D12" s="137" t="str">
        <f>IF(COUNTIF(A39,"1.*"),C12*D45,"")</f>
        <v/>
      </c>
      <c r="E12" s="151"/>
      <c r="F12" s="137" t="str">
        <f>IF(COUNTIF(E39,"1.*"),E12*H45,"")</f>
        <v/>
      </c>
      <c r="G12" s="129">
        <v>45</v>
      </c>
      <c r="H12" s="126">
        <f>IF(AND(COUNTIF(A39,"1.*"),COUNTIF(E39,"1.*")),(B12*G12)-((D12*G12)+(F12*G12)),IF(COUNTIF(A39,"1.*"),(B12*G12)-(D12*G12),IF(COUNTIF(E39,"1.*"),(B12*G12)-(F12*G12),(A12+B12)*G12)))</f>
        <v>0</v>
      </c>
      <c r="I12" s="31" t="str">
        <f>IF(COUNTIF(A39,"1.*"),SUM(D12*G12),"")</f>
        <v/>
      </c>
      <c r="J12" s="126" t="str">
        <f>IF(COUNTIF(E39,"1.*"),SUM(F12*G12),"")</f>
        <v/>
      </c>
      <c r="K12" s="77" t="str">
        <f>IF(OR(A38&gt;0,A31&gt;0),"Total Pro-Rata Credits:","")</f>
        <v>Total Pro-Rata Credits:</v>
      </c>
      <c r="L12" s="10"/>
      <c r="M12" s="10"/>
      <c r="N12" s="10"/>
      <c r="O12" s="221">
        <f>IF(OR(A38&gt;0,A31&gt;0),'Pro-Rata Worksheet'!J5,"")</f>
        <v>11.65</v>
      </c>
      <c r="S12" s="166" t="str">
        <f>IF(COUNTIF(C7,""),"","13th Check")</f>
        <v/>
      </c>
      <c r="T12" s="163" t="str">
        <f>IF(COUNTIF(C7,""),"",IF(COUNTIF(K9,"4.*"),IF(COUNTIF(J8,"*Younger*"),100%-8%-(I8*0.4%),IF(100%-8%+(I8*0.4%)&gt;100%,100%,100%-8%+(I8*0.4%)))*100&amp;"% / "&amp;IF(COUNTIF(J8,"*Younger*"),100%-18%-(I8*0.4%),IF(100%-18%+(I8*0.4%)&gt;100%,100%,100%-18%+(I8*0.4%)))*100&amp;"%",IF(COUNTIF(K9,"6.*"),IF(COUNTIF(J8,"*Younger*"),100%-18%-(I8*0.4%),IF(100%-18%+(I8*0.4%)&gt;100%,100%,100%-18%+(I8*0.4%))),IF(COUNTIF(K9,"8.*"),IF(COUNTIF(J8,"*Younger*"),100%-8%-(I8*0.4%),IF(100%-8%+(I8*0.4%)&gt;100%,100%,100%-8%+(I8*0.4%)))*100&amp;"% / "&amp;IF(COUNTIF(J8,"*Younger*"),100%-18%-(I8*0.4%),IF(100%-18%+(I8*0.4%)&gt;100%,100%,100%-18%+(I8*0.4%)))*100&amp;"%",IF(COUNTIF(J8,"*Younger*"),100%-8%-(I8*0.4%),IF(100%-8%+(I8*0.4%)&gt;100%,100%,100%-8%+(I8*0.4%)))))))</f>
        <v/>
      </c>
      <c r="U12" s="164" t="str">
        <f>IF(COUNTIF(C7,""),"",IF(COUNTIF(K9,"1.*"),(O47)*T12,IF(COUNTIF(K9,"2.*"),(O47)*T12,IF(COUNTIF(K9,"3.*"),(O47)*T12,IF(COUNTIF(K9,"5.*"),(O47)*T12,IF(COUNTIF(K9,"6.*"),(O47)*T12,IF(COUNTIF(K9,"7.*"),(O47)*T12,IF(COUNTIF(K9,"8.*"),(O14+O15)*IF(COUNTIF(J8,"*Younger*"),100%-8%-(I8*0.4%),IF(100%-8%+(I8*0.4%)&gt;100%,100%,100%-8%+(I8*0.4%))),IF(COUNTIF(K9,"4.*"),O14*IF(COUNTIF(J8,"*Younger*"),100%-8%-(I8*0.4%),IF(100%-8%+(I8*0.4%)&gt;100%,100%,100%-8%+(I8*0.4%)))+(O15)*IF(COUNTIF(J8,"*Younger*"),100%-18%-(I8*0.4%),IF(100%-18%+(I8*0.4%)&gt;100%,100%,100%-18%+(I8*0.4%))),IF(COUNTIF(K9,"9.*"),(O47)*T12,""))))))))))</f>
        <v/>
      </c>
      <c r="V12" s="165" t="str">
        <f>IF(COUNTIF(C7,""),"",U12*S11)</f>
        <v/>
      </c>
    </row>
    <row r="13" spans="1:22" x14ac:dyDescent="0.25">
      <c r="A13" s="187"/>
      <c r="B13" s="131"/>
      <c r="C13" s="145"/>
      <c r="D13" s="137" t="str">
        <f>IF(COUNTIF(A39,"1.*"),C13*D45,"")</f>
        <v/>
      </c>
      <c r="E13" s="151"/>
      <c r="F13" s="137" t="str">
        <f>IF(COUNTIF(E39,"1.*"),E13*H45,"")</f>
        <v/>
      </c>
      <c r="G13" s="129">
        <v>55</v>
      </c>
      <c r="H13" s="126">
        <f>IF(AND(COUNTIF(A39,"1.*"),COUNTIF(E39,"1.*")),(B13*G13)-((D13*G13)+(F13*G13)),IF(COUNTIF(A39,"1.*"),(B13*G13)-(D13*G13),IF(COUNTIF(E39,"1.*"),(B13*G13)-(F13*G13),(A13+B13)*G13)))</f>
        <v>0</v>
      </c>
      <c r="I13" s="31" t="str">
        <f>IF(COUNTIF(A39,"1.*"),SUM(D13*G13),"")</f>
        <v/>
      </c>
      <c r="J13" s="126" t="str">
        <f>IF(COUNTIF(E39,"1.*"),SUM(F13*G13),"")</f>
        <v/>
      </c>
      <c r="K13" s="77" t="str">
        <f>IF(OR(A38&gt;0,A31&gt;0),"Pro-Rata Factor:","")</f>
        <v>Pro-Rata Factor:</v>
      </c>
      <c r="L13" s="10"/>
      <c r="M13" s="10"/>
      <c r="N13" s="10"/>
      <c r="O13" s="113">
        <f>IF(OR(A38&gt;0,A31&gt;0),ROUNDDOWN(O11/O12,4),"")</f>
        <v>0.91410000000000002</v>
      </c>
      <c r="S13" s="162" t="str">
        <f>IF(COUNTIF(C7,""),"","75%")</f>
        <v/>
      </c>
      <c r="T13" s="163" t="str">
        <f>IF(COUNTIF(C7,""),"",IF(COUNTIF(K9,"4.*"),IF(COUNTIF(J8,"*Younger*"),100%-12%-(I8*0.4%),IF(100%-12%+(I8*0.4%)&gt;100%,100%,100%-12%+(I8*0.4%)))*100&amp;"% / "&amp;IF(COUNTIF(J8,"*Younger*"),100%-24%-(I8*0.4%),IF(100%-24%+(I8*0.4%)&gt;100%,100%,100%-24%+(I8*0.4%)))*100&amp;"%",IF(COUNTIF(K9,"6.*"),IF(COUNTIF(J8,"*Younger*"),100%-24%-(I8*0.4%),IF(100%-24%+(I8*0.4%)&gt;100%,100%,100%-24%+(I8*0.4%))),IF(COUNTIF(K9,"8.*"),IF(COUNTIF(J8,"*Younger*"),100%-12%-(I8*0.4%),IF(100%-12%+(I8*0.4%)&gt;100%,100%,100%-12%+(I8*0.4%)))*100&amp;"% / "&amp;IF(COUNTIF(J8,"*Younger*"),100%-24%-(I8*0.4%),IF(100%-24%+(I8*0.4%)&gt;100%,100%,100%-24%+(I8*0.4%)))*100&amp;"%",IF(COUNTIF(J8,"*Younger*"),100%-12%-(I8*0.4%),IF(100%-12%+(I8*0.4%)&gt;100%,100%,100%-12%+(I8*0.4%)))))))</f>
        <v/>
      </c>
      <c r="U13" s="164" t="str">
        <f>IF(COUNTIF(C7,""),"",IF(COUNTIF(K9,"1.*"),(O46)*T13,IF(COUNTIF(K9,"2.*"),(O46)*T13,IF(COUNTIF(K9,"3.*"),(O46)*T13,IF(COUNTIF(K9,"5.*"),(O46)*T13,IF(COUNTIF(K9,"6.*"),(O46)*T13,IF(COUNTIF(K9,"7.*"),(O46)*T13,IF(COUNTIF(K9,"8.*"),(O14+O15)*IF(COUNTIF(J8,"*Younger*"),100%-12%-(I8*0.4%),IF(100%-12%+(I8*0.4%)&gt;100%,100%,100%-12%+(I8*0.4%)))+(O16*IF(COUNTIF(J8,"*Younger*"),100%-24%-(I8*0.4%),IF(100%-24%+(I8*0.4%)&gt;100%,100%,100%-24%+(I8*0.4%)))),IF(COUNTIF(K9,"4.*"),O14*IF(COUNTIF(J8,"*Younger*"),100%-12%-(I8*0.4%),IF(100%-12%+(I8*0.4%)&gt;100%,100%,100%-12%+(I8*0.4%)))+(O15+O16)*IF(COUNTIF(J8,"*Younger*"),100%-24%-(I8*0.4%),IF(100%-24%+(I8*0.4%)&gt;100%,100%,100%-24%+(I8*0.4%))),IF(COUNTIF(K9,"9.*"),(O46)*T13,""))))))))))</f>
        <v/>
      </c>
      <c r="V13" s="165" t="str">
        <f>IF(COUNTIF(C7,""),"",U13*S13)</f>
        <v/>
      </c>
    </row>
    <row r="14" spans="1:22" x14ac:dyDescent="0.25">
      <c r="A14" s="187"/>
      <c r="B14" s="131"/>
      <c r="C14" s="145"/>
      <c r="D14" s="137" t="str">
        <f>IF(COUNTIF(A39,"1.*"),C14*D45,"")</f>
        <v/>
      </c>
      <c r="E14" s="151"/>
      <c r="F14" s="137" t="str">
        <f>IF(COUNTIF(E39,"1.*"),E14*H45,"")</f>
        <v/>
      </c>
      <c r="G14" s="126">
        <v>50</v>
      </c>
      <c r="H14" s="126">
        <f>IF(AND(COUNTIF(A39,"1.*"),COUNTIF(E39,"1.*")),(B14*G14)-((D14*G14)+(F14*G14)),IF(COUNTIF(A39,"1.*"),(B14*G14)-(D14*G14),IF(COUNTIF(E39,"1.*"),(B14*G14)-(F14*G14),(A14+B14)*G14)))</f>
        <v>0</v>
      </c>
      <c r="I14" s="31" t="str">
        <f>IF(COUNTIF(A39,"1.*"),SUM(D14*G14),"")</f>
        <v/>
      </c>
      <c r="J14" s="126" t="str">
        <f>IF(COUNTIF(E39,"1.*"),SUM(F14*G14),"")</f>
        <v/>
      </c>
      <c r="K14" s="96" t="s">
        <v>184</v>
      </c>
      <c r="L14" s="2"/>
      <c r="M14" s="2"/>
      <c r="N14" s="21">
        <f>SUM(A11:A17,B11:B17)</f>
        <v>10.67</v>
      </c>
      <c r="O14" s="5" t="e">
        <f>IF(OR(A38&gt;0,A31&gt;0),ROUNDDOWN(O13*(H18+I18),2),ROUNDDOWN(O13*(H18+I18),2))</f>
        <v>#VALUE!</v>
      </c>
      <c r="S14" s="166" t="str">
        <f>IF(COUNTIF(C7,""),"","13th Check")</f>
        <v/>
      </c>
      <c r="T14" s="163" t="str">
        <f>IF(COUNTIF(C7,""),"",IF(COUNTIF(K9,"4.*"),IF(COUNTIF(J8,"*Younger*"),100%-12%-(I8*0.4%),IF(100%-12%+(I8*0.4%)&gt;100%,100%,100%-12%+(I8*0.4%)))*100&amp;"% / "&amp;IF(COUNTIF(J8,"*Younger*"),100%-24%-(I8*0.4%),IF(100%-24%+(I8*0.4%)&gt;100%,100%,100%-24%+(I8*0.4%)))*100&amp;"%",IF(COUNTIF(K9,"6.*"),IF(COUNTIF(J8,"*Younger*"),100%-24%-(I8*0.4%),IF(100%-24%+(I8*0.4%)&gt;100%,100%,100%-24%+(I8*0.4%))),IF(COUNTIF(K9,"8.*"),IF(COUNTIF(J8,"*Younger*"),100%-12%-(I8*0.4%),IF(100%-12%+(I8*0.4%)&gt;100%,100%,100%-12%+(I8*0.4%)))*100&amp;"% / "&amp;IF(COUNTIF(J8,"*Younger*"),100%-24%-(I8*0.4%),IF(100%-24%+(I8*0.4%)&gt;100%,100%,100%-24%+(I8*0.4%)))*100&amp;"%",IF(COUNTIF(J8,"*Younger*"),100%-12%-(I8*0.4%),IF(100%-12%+(I8*0.4%)&gt;100%,100%,100%-12%+(I8*0.4%)))))))</f>
        <v/>
      </c>
      <c r="U14" s="164" t="str">
        <f>IF(COUNTIF(C7,""),"",IF(COUNTIF(K9,"1.*"),(O47)*T14,IF(COUNTIF(K9,"2.*"),(O47)*T14,IF(COUNTIF(K9,"3.*"),(O47)*T14,IF(COUNTIF(K9,"5.*"),(O47)*T14,IF(COUNTIF(K9,"6.*"),(O47)*T14,IF(COUNTIF(K9,"7.*"),(O47)*T14,IF(COUNTIF(K9,"8.*"),(O14+O15)*IF(COUNTIF(J8,"*Younger*"),100%-12%-(I8*0.4%),IF(100%-12%+(I8*0.4%)&gt;100%,100%,100%-12%+(I8*0.4%))),IF(COUNTIF(K9,"4.*"),O14*IF(COUNTIF(J8,"*Younger*"),100%-12%-(I8*0.4%),IF(100%-12%+(I8*0.4%)&gt;100%,100%,100%-12%+(I8*0.4%)))+(O15)*IF(COUNTIF(J8,"*Younger*"),100%-24%-(I8*0.4%),IF(100%-24%+(I8*0.4%)&gt;100%,100%,100%-24%+(I8*0.4%))),IF(COUNTIF(K9,"9.*"),(O47)*T14,""))))))))))</f>
        <v/>
      </c>
      <c r="V14" s="165" t="str">
        <f>IF(COUNTIF(C7,""),"",U14*S13)</f>
        <v/>
      </c>
    </row>
    <row r="15" spans="1:22" x14ac:dyDescent="0.25">
      <c r="A15" s="187">
        <v>3.92</v>
      </c>
      <c r="B15" s="131">
        <v>3.92</v>
      </c>
      <c r="C15" s="145">
        <v>4.34</v>
      </c>
      <c r="D15" s="137" t="str">
        <f>IF(COUNTIF(A39,"1.*"),C15*D45,"")</f>
        <v/>
      </c>
      <c r="E15" s="151"/>
      <c r="F15" s="137" t="str">
        <f>IF(COUNTIF(E39,"1.*"),E15*H45,"")</f>
        <v/>
      </c>
      <c r="G15" s="126">
        <v>118</v>
      </c>
      <c r="H15" s="126">
        <f>IF(AND(COUNTIF(A39,"1.*"),COUNTIF(E39,"1.*")),((A15+B15)*G15)-((D15*G15)+(F15*G15)),IF(COUNTIF(A39,"1.*"),((A15+B15)*G15)-(D15*G15),IF(COUNTIF(E39,"1.*"),((A15+B15)*G15)-(F15*G15),(A15+B15)*G15)))</f>
        <v>925.12</v>
      </c>
      <c r="I15" s="31" t="str">
        <f>IF(COUNTIF(A39,"1.*"),SUM(D15*G15),"")</f>
        <v/>
      </c>
      <c r="J15" s="126" t="str">
        <f>IF(COUNTIF(E39,"1.*"),SUM(F15*G15),"")</f>
        <v/>
      </c>
      <c r="K15" s="77" t="str">
        <f>IF(COUNTIF(K9,"2.*"),"","Full Benefit from 09/01/2011 to 09/30/2014:")</f>
        <v>Full Benefit from 09/01/2011 to 09/30/2014:</v>
      </c>
      <c r="N15" s="21">
        <f>IF(COUNTIF(K9,"2.*"),"",SUM(A20:A21,B20:B21))</f>
        <v>0</v>
      </c>
      <c r="O15" s="5">
        <f>IF(COUNTIF(K9,"2.*"),"",IF(OR(A38&gt;0,A31&gt;0),O13*((A20+B20)*G20+(A21+B21)*G21),((A20+B20)*G20+(A21+B21)*G21)))</f>
        <v>0</v>
      </c>
      <c r="S15" s="162" t="str">
        <f>IF(COUNTIF(C7,""),"","100%")</f>
        <v/>
      </c>
      <c r="T15" s="163" t="str">
        <f>IF(COUNTIF(C7,""),"",IF(COUNTIF(K9,"4.*"),IF(COUNTIF(J8,"*Younger*"),100%-15%-(I8*0.5%),IF(100%-15%+(I8*0.5%)&gt;100%,100%,100%-15%+(I8*0.5%)))*100&amp;"% / "&amp;IF(COUNTIF(J8,"*Younger*"),100%-30%-(I8*0.5%),IF(100%-30%+(I8*0.5%)&gt;100%,100%,100%-30%+(I8*0.5%)))*100&amp;"%",IF(COUNTIF(K9,"6.*"),IF(COUNTIF(J8,"*Younger*"),100%-30%-(I8*0.5%),IF(100%-30%+(I8*0.5%)&gt;100%,100%,100%-30%+(I8*0.5%))),IF(COUNTIF(K9,"8.*"),IF(COUNTIF(J8,"*Younger*"),100%-15%-(I8*0.5%),IF(100%-15%+(I8*0.5%)&gt;100%,100%,100%-15%+(I8*0.5%)))*100&amp;"% / "&amp;IF(COUNTIF(J8,"*Younger*"),100%-30%-(I8*0.5%),IF(100%-30%+(I8*0.5%)&gt;100%,100%,100%-30%+(I8*0.5%)))*100&amp;"%",IF(COUNTIF(J8,"*Younger*"),100%-15%-(I8*0.5%),IF(100%-15%+(I8*0.5%)&gt;100%,100%,100%-15%+(I8*0.5%)))))))</f>
        <v/>
      </c>
      <c r="U15" s="164" t="str">
        <f>IF(COUNTIF(C7,""),"",IF(COUNTIF(K9,"1.*"),(O46)*T15,IF(COUNTIF(K9,"2.*"),(O46)*T15,IF(COUNTIF(K9,"3.*"),(O46)*T15,IF(COUNTIF(K9,"5.*"),(O46)*T15,IF(COUNTIF(K9,"6.*"),(O46)*T15,IF(COUNTIF(K9,"7.*"),(O46)*T15,IF(COUNTIF(K9,"8.*"),(O14+O15)*IF(COUNTIF(J8,"*Younger*"),100%-15%-(I8*0.5%),IF(100%-15%+(I8*0.5%)&gt;100%,100%,100%-15%+(I8*0.5%)))+(O16*IF(COUNTIF(J8,"*Younger*"),100%-30%-(I8*0.5%),IF(100%-30%+(I8*0.5%)&gt;100%,100%,100%-30%+(I8*0.5%)))),IF(COUNTIF(K9,"4.*"),O14*IF(COUNTIF(J8,"*Younger*"),100%-15%-(I8*0.5%),IF(100%-15%+(I8*0.5%)&gt;100%,100%,100%-15%+(I8*0.5%)))+(O15+O16)*IF(COUNTIF(J8,"*Younger*"),100%-30%-(I8*0.5%),IF(100%-30%+(I8*0.5%)&gt;100%,100%,100%-30%+(I8*0.5%))),IF(COUNTIF(K9,"9.*"),(O46)*T15,""))))))))))</f>
        <v/>
      </c>
      <c r="V15" s="165" t="str">
        <f>IF(COUNTIF(C7,""),"",U15*S15)</f>
        <v/>
      </c>
    </row>
    <row r="16" spans="1:22" ht="14.25" thickBot="1" x14ac:dyDescent="0.3">
      <c r="A16" s="187"/>
      <c r="B16" s="131"/>
      <c r="C16" s="145"/>
      <c r="D16" s="137" t="str">
        <f>IF(COUNTIF(A39,"1.*"),C16*D45,"")</f>
        <v/>
      </c>
      <c r="E16" s="151"/>
      <c r="F16" s="137" t="str">
        <f>IF(COUNTIF(E39,"1.*"),E16*H45,"")</f>
        <v/>
      </c>
      <c r="G16" s="126">
        <v>105</v>
      </c>
      <c r="H16" s="126">
        <f>IF(AND(COUNTIF(A39,"1.*"),COUNTIF(E39,"1.*")),(B16*G16)-((D16*G16)+(F16*G16)),IF(COUNTIF(A39,"1.*"),(B16*G16)-(D16*G16),IF(COUNTIF(E41,"1.*"),(B16*G16)-(F16*G16),(A16+B16)*G16)))</f>
        <v>0</v>
      </c>
      <c r="I16" s="31" t="str">
        <f>IF(COUNTIF(A39,"1.*"),SUM(D16*G16),"")</f>
        <v/>
      </c>
      <c r="J16" s="126" t="str">
        <f>IF(COUNTIF(E39,"1.*"),SUM(F16*G16),"")</f>
        <v/>
      </c>
      <c r="K16" s="96" t="str">
        <f>IF(COUNTIF(K9,"2.*"),"","Full Benefit on and After 10/01/2014:")</f>
        <v>Full Benefit on and After 10/01/2014:</v>
      </c>
      <c r="L16" s="2"/>
      <c r="M16" s="2"/>
      <c r="N16" s="21">
        <f>IF(COUNTIF(K9,"2.*"),"",SUM(A24:A29,B24:B29,A33:A36,B33:B36))</f>
        <v>0.67</v>
      </c>
      <c r="O16" s="5">
        <f>IF(COUNTIF(K9,"2.*"),"",IF(OR(A38&gt;0,A31&gt;0),O13*((A24+B24)*G24+(A25+B25)*G25+(A26+B26)*G26+(A27+B27)*G27+(A28+B28)*G28+(A29+B29)*G29+(A33+B33)*G33+(A34+B34)*G34+(A35+B35)*G35+(A36+B36)*G36),((A24+B24)*G24+(A25+B25)*G25+(A26+B26)*G26+(A27+B27)*G27+(A28+B28)*G28+(A29+B29)*G29+(A33+B33)*G33+(A34+B34)*G34+(A35+B35)*G35+(A36+B36)*G36)))</f>
        <v>64.30693500000001</v>
      </c>
      <c r="S16" s="167" t="str">
        <f>IF(COUNTIF(C7,""),"","13th Check")</f>
        <v/>
      </c>
      <c r="T16" s="168" t="str">
        <f>IF(COUNTIF(C7,""),"",IF(COUNTIF(K9,"4.*"),IF(COUNTIF(J8,"*Younger*"),100%-15%-(I8*0.5%),IF(100%-15%+(I8*0.5%)&gt;100%,100%,100%-15%+(I8*0.5%)))*100&amp;"% / "&amp;IF(COUNTIF(J8,"*Younger*"),100%-30%-(I8*0.5%),IF(100%-30%+(I8*0.5%)&gt;100%,100%,100%-30%+(I8*0.5%)))*100&amp;"%",IF(COUNTIF(K9,"6.*"),IF(COUNTIF(J8,"*Younger*"),100%-30%-(I8*0.5%),IF(100%-30%+(I8*0.5%)&gt;100%,100%,100%-30%+(I8*0.5%))),IF(COUNTIF(K9,"8.*"),IF(COUNTIF(J8,"*Younger*"),100%-15%-(I8*0.5%),IF(100%-15%+(I8*0.5%)&gt;100%,100%,100%-15%+(I8*0.5%)))*100&amp;"% / "&amp;IF(COUNTIF(J8,"*Younger*"),100%-30%-(I8*0.5%),IF(100%-30%+(I8*0.5%)&gt;100%,100%,100%-30%+(I8*0.5%)))*100&amp;"%",IF(COUNTIF(J8,"*Younger*"),100%-15%-(I8*0.5%),IF(100%-15%+(I8*0.5%)&gt;100%,100%,100%-15%+(I8*0.5%)))))))</f>
        <v/>
      </c>
      <c r="U16" s="169" t="str">
        <f>IF(COUNTIF(C7,""),"",IF(COUNTIF(K9,"1.*"),(O47)*T16,IF(COUNTIF(K9,"2.*"),(O47)*T16,IF(COUNTIF(K9,"3.*"),(O47)*T16,IF(COUNTIF(K9,"5.*"),(O47)*T16,IF(COUNTIF(K9,"6.*"),(O47)*T16,IF(COUNTIF(K9,"7.*"),(O47)*T16,IF(COUNTIF(K9,"8.*"),(O14+O15)*IF(COUNTIF(J8,"*Younger*"),100%-15%-(I8*0.5%),IF(100%-15%+(I8*0.5%)&gt;100%,100%,100%-15%+(I8*0.5%))),IF(COUNTIF(K9,"4.*"),O14*IF(COUNTIF(J8,"*Younger*"),100%-15%-(I8*0.5%),IF(100%-15%+(I8*0.5%)&gt;100%,100%,100%-15%+(I8*0.5%)))+(O15)*IF(COUNTIF(J8,"*Younger*"),100%-30%-(I8*0.5%),IF(100%-30%+(I8*0.5%)&gt;100%,100%,100%-30%+(I8*0.5%))),IF(COUNTIF(K9,"9.*"),(O47)*T16,""))))))))))</f>
        <v/>
      </c>
      <c r="V16" s="170" t="str">
        <f>IF(COUNTIF(C7,""),"",U16*S15)</f>
        <v/>
      </c>
    </row>
    <row r="17" spans="1:22" ht="14.25" thickBot="1" x14ac:dyDescent="0.3">
      <c r="A17" s="187"/>
      <c r="B17" s="132">
        <v>2.83</v>
      </c>
      <c r="C17" s="146">
        <v>0.57999999999999996</v>
      </c>
      <c r="D17" s="138" t="str">
        <f>IF(COUNTIF(A39,"1.*"),C17*D45,"")</f>
        <v/>
      </c>
      <c r="E17" s="152"/>
      <c r="F17" s="137" t="str">
        <f>IF(COUNTIF(E39,"1.*"),E17*H45,"")</f>
        <v/>
      </c>
      <c r="G17" s="127">
        <v>125</v>
      </c>
      <c r="H17" s="126">
        <f>IF(AND(COUNTIF(A39,"1.*"),COUNTIF(E39,"1.*")),((A17+B17)*G17)-((D17*G17)+(F17*G17)),IF(COUNTIF(A39,"1.*"),((A17+B17)*G17)-(D17*G17),IF(COUNTIF(E39,"1.*"),((A17+B17)*G17)-(F17*G17),(A17+B17)*G17)))</f>
        <v>353.75</v>
      </c>
      <c r="I17" s="31" t="str">
        <f>IF(COUNTIF(A39,"1.*"),SUM(D17*G17),"")</f>
        <v/>
      </c>
      <c r="J17" s="127" t="str">
        <f>IF(COUNTIF(E39,"1.*"),SUM(F17*G17),"")</f>
        <v/>
      </c>
      <c r="K17" s="77" t="s">
        <v>183</v>
      </c>
      <c r="N17" s="21">
        <f>SUM(A11:A17,B11:B17,A20:A21,B20:B21,A24:A29,B24:B29,A33:A36,B33:B36)</f>
        <v>11.34</v>
      </c>
      <c r="O17" s="5" t="e">
        <f>SUM(O14:O16)</f>
        <v>#VALUE!</v>
      </c>
      <c r="S17" s="540" t="str">
        <f>IF(COUNTIF(C7,""),"",IF(OR(COUNTIF(K9,"1.*"),COUNTIF(K9,"3.*"),COUNTIF(K9,"7.*")),"Pension Benefit Deferred at Age 65 H&amp;W Options",IF(COUNTIF(K9,"10.*"),"Delayed Retirement 2 H&amp;W Options","")))</f>
        <v/>
      </c>
      <c r="T17" s="541"/>
      <c r="U17" s="541"/>
      <c r="V17" s="542"/>
    </row>
    <row r="18" spans="1:22" ht="14.25" thickBot="1" x14ac:dyDescent="0.3">
      <c r="A18" s="120">
        <f>SUM(A11:A17)</f>
        <v>3.92</v>
      </c>
      <c r="B18" s="120">
        <f>SUM(B11:B17)</f>
        <v>6.75</v>
      </c>
      <c r="C18" s="120" t="str">
        <f>IF(COUNTIF(A39,"1.*"),SUM(C11:C17),"")</f>
        <v/>
      </c>
      <c r="D18" s="120" t="str">
        <f>IF(COUNTIF(A39,"1.*"),SUM(D11:D17),"")</f>
        <v/>
      </c>
      <c r="E18" s="120" t="str">
        <f>IF(COUNTIF(E39,"1.*"),SUM(E11:E17),"")</f>
        <v/>
      </c>
      <c r="F18" s="120" t="str">
        <f>IF(COUNTIF(E39,"1.*"),SUM(F11:F17),"")</f>
        <v/>
      </c>
      <c r="G18" s="182" t="s">
        <v>11</v>
      </c>
      <c r="H18" s="88">
        <f>SUM(H11:H17)</f>
        <v>1278.8699999999999</v>
      </c>
      <c r="I18" s="88" t="str">
        <f>IF(COUNTIF(A39,"1.*"),SUM(I11:I17),"")</f>
        <v/>
      </c>
      <c r="J18" s="135" t="str">
        <f>IF(COUNTIF(E39,"1.*"),SUM(J11:J17),"")</f>
        <v/>
      </c>
      <c r="K18" s="77" t="s">
        <v>196</v>
      </c>
      <c r="L18" s="2"/>
      <c r="O18" s="5" t="e">
        <f>SUM(O14,O15)</f>
        <v>#VALUE!</v>
      </c>
      <c r="S18" s="11" t="str">
        <f>IF(COUNTIF(C7,""),"",IF(OR(COUNTIF(K9,"1.*"),COUNTIF(K9,"3.*"),COUNTIF(K9,"7.*"),COUNTIF(K9,"10.*")),"Option",""))</f>
        <v/>
      </c>
      <c r="T18" s="80" t="str">
        <f>IF(COUNTIF(C7,""),"",IF(OR(COUNTIF(K9,"1.*"),COUNTIF(K9,"3.*"),COUNTIF(K9,"7.*"),COUNTIF(K9,"10.*")),"Factor",""))</f>
        <v/>
      </c>
      <c r="U18" s="80" t="str">
        <f>IF(COUNTIF(C7,""),"",IF(OR(COUNTIF(K9,"1.*"),COUNTIF(K9,"3.*"),COUNTIF(K9,"7.*"),COUNTIF(K9,"10.*")),"Member Benefit",""))</f>
        <v/>
      </c>
      <c r="V18" s="103" t="str">
        <f>IF(COUNTIF(C7,""),"",IF(OR(COUNTIF(K9,"1.*"),COUNTIF(K9,"3.*"),COUNTIF(K9,"7.*"),COUNTIF(K9,"10.*")),"Spouse Benefit",""))</f>
        <v/>
      </c>
    </row>
    <row r="19" spans="1:22" ht="15.75" customHeight="1" thickBot="1" x14ac:dyDescent="0.3">
      <c r="A19" s="572" t="s">
        <v>12</v>
      </c>
      <c r="B19" s="573"/>
      <c r="C19" s="573"/>
      <c r="D19" s="573"/>
      <c r="E19" s="573"/>
      <c r="F19" s="573"/>
      <c r="G19" s="573"/>
      <c r="H19" s="573"/>
      <c r="I19" s="573"/>
      <c r="J19" s="574"/>
      <c r="K19" s="77" t="str">
        <f>IF(COUNTIF(A39,"_"),"","Alternate Payee 1 Award:")</f>
        <v>Alternate Payee 1 Award:</v>
      </c>
      <c r="O19" s="5" t="e">
        <f>IF(COUNTIF(A39,"_"),"",IF(COUNTIF(A39,"1.*"),ROUND(O13*(I18+I22+I30),2),IF(COUNTIF(A39,"3.*"),D46,IF(OR(COUNTIF(A39,"2.*"),COUNTIF(A39,"4.*")),IF(COUNTIF(K9,"2.*"),D49,ROUND((D49+D52+D55),2))))))</f>
        <v>#VALUE!</v>
      </c>
      <c r="S19" s="162" t="str">
        <f>IF(COUNTIF(C7,""),"",IF(OR(COUNTIF(K9,"1.*"),COUNTIF(K9,"3.*"),COUNTIF(K9,"7.*"),COUNTIF(K9,"10.*")),"50%",""))</f>
        <v/>
      </c>
      <c r="T19" s="163" t="str">
        <f>IF(COUNTIF(C7,""),"",IF(OR(COUNTIF(K9,"1.*"),COUNTIF(K9,"3.*"),COUNTIF(K9,"7.*"),COUNTIF(K9,"10.*")),IF(COUNTIF(J8,"*Younger*"),100%-8%-(I8*0.4%),IF(100%-8%+(I8*0.4%)&gt;100%,100%,100%-8%+(I8*0.4%))),""))</f>
        <v/>
      </c>
      <c r="U19" s="164" t="str">
        <f>IF(COUNTIF(C7,""),"",IF(OR(COUNTIF(K9,"1.*"),COUNTIF(K9,"3.*"),COUNTIF(K9,"7.*"),COUNTIF(K9,"10.*")),(O48)*T19,""))</f>
        <v/>
      </c>
      <c r="V19" s="165" t="str">
        <f>IF(COUNTIF(C7,""),"",IF(OR(COUNTIF(K9,"1.*"),COUNTIF(K9,"3.*"),COUNTIF(K9,"7.*"),COUNTIF(K9,"10.*")),U19*S19,""))</f>
        <v/>
      </c>
    </row>
    <row r="20" spans="1:22" x14ac:dyDescent="0.25">
      <c r="A20" s="187"/>
      <c r="B20" s="131"/>
      <c r="C20" s="145"/>
      <c r="D20" s="137" t="str">
        <f>IF(COUNTIF(A39,"1.*"),C20*D45,"")</f>
        <v/>
      </c>
      <c r="E20" s="151"/>
      <c r="F20" s="137" t="str">
        <f>IF(COUNTIF(E39,"1.*"),E20*H45,"")</f>
        <v/>
      </c>
      <c r="G20" s="126">
        <v>90</v>
      </c>
      <c r="H20" s="126">
        <f>IF(AND(COUNTIF(A39,"1.*"),COUNTIF(E39,"1.*")),((A20+B20)*G20)-((D20*G20)+(F20*G20)),IF(COUNTIF(A39,"1.*"),((A20+B20)*G20)-(D20*G20),IF(COUNTIF(E39,"1.*"),((A20+B20)*G20)-(F20*G20),((A20+B20)*G20))))</f>
        <v>0</v>
      </c>
      <c r="I20" s="31" t="str">
        <f>IF(COUNTIF(A39,"1.*"),SUM(D20*G20),"")</f>
        <v/>
      </c>
      <c r="J20" s="133" t="str">
        <f>IF(COUNTIF(E39,"1.*"),SUM(F20*G20),"")</f>
        <v/>
      </c>
      <c r="K20" s="77" t="str">
        <f>IF(COUNTIF(A39,"_"),"","Alternate Payee 1 13th Check:")</f>
        <v>Alternate Payee 1 13th Check:</v>
      </c>
      <c r="O20" s="5" t="e">
        <f>IF(COUNTIF(A39,"_"),"",IF(COUNTIF(A39,"1.*"),ROUND(O13*(I18+I22),2),IF(COUNTIF(A39,"3.*"),D47,IF(OR(COUNTIF(A39,"2.*"),COUNTIF(A39,"4.*")),IF(COUNTIF(K9,"2.*"),D49,ROUNDDOWN((D49+D52),2))))))</f>
        <v>#VALUE!</v>
      </c>
      <c r="S20" s="166" t="str">
        <f>IF(COUNTIF(C7,""),"",IF(OR(COUNTIF(K9,"1.*"),COUNTIF(K9,"3.*"),COUNTIF(K9,"7.*"),COUNTIF(K9,"10.*")),"13th Check",""))</f>
        <v/>
      </c>
      <c r="T20" s="163" t="str">
        <f>IF(COUNTIF(C7,""),"",IF(OR(COUNTIF(K9,"1.*"),COUNTIF(K9,"3.*"),COUNTIF(K9,"7.*"),COUNTIF(K9,"10.*")),IF(COUNTIF(J8,"*Younger*"),100%-8%-(I8*0.4%),IF(100%-8%+(I8*0.4%)&gt;100%,100%,100%-8%+(I8*0.4%))),""))</f>
        <v/>
      </c>
      <c r="U20" s="164" t="str">
        <f>IF(COUNTIF(C7,""),"",IF(OR(COUNTIF(K9,"1.*"),COUNTIF(K9,"3.*"),COUNTIF(K9,"7.*"),COUNTIF(K9,"10.*")),(O49)*T20,""))</f>
        <v/>
      </c>
      <c r="V20" s="165" t="str">
        <f>IF(COUNTIF(C7,""),"",IF(OR(COUNTIF(K9,"1.*"),COUNTIF(K9,"3.*"),COUNTIF(K9,"7.*"),COUNTIF(K9,"10.*")),U20*S19,""))</f>
        <v/>
      </c>
    </row>
    <row r="21" spans="1:22" ht="14.25" thickBot="1" x14ac:dyDescent="0.3">
      <c r="A21" s="187"/>
      <c r="B21" s="132"/>
      <c r="C21" s="146"/>
      <c r="D21" s="138" t="str">
        <f>IF(COUNTIF(A39,"1.*"),C21*D45,"")</f>
        <v/>
      </c>
      <c r="E21" s="152"/>
      <c r="F21" s="137" t="str">
        <f>IF(COUNTIF(E39,"1.*"),E21*H45,"")</f>
        <v/>
      </c>
      <c r="G21" s="127">
        <v>125</v>
      </c>
      <c r="H21" s="126">
        <f>IF(AND(COUNTIF(A39,"1.*"),COUNTIF(E39,"1.*")),SUM(B21*G21)-((D21*G21)+(F21*G21)),IF(COUNTIF(A39,"1.*"),SUM(B21*G21)-(D21*G21),IF(COUNTIF(E39,"1.*"),SUM(B21*G21)-(F21*G21),B21*G21)))</f>
        <v>0</v>
      </c>
      <c r="I21" s="31" t="str">
        <f>IF(COUNTIF(A39,"1.*"),SUM(D21*G21),"")</f>
        <v/>
      </c>
      <c r="J21" s="126" t="str">
        <f>IF(COUNTIF(E39,"1.*"),SUM(F21*G21),"")</f>
        <v/>
      </c>
      <c r="K21" s="77" t="str">
        <f>IF(COUNTIF(E39,"_"),"","Alternate Payee 2 Award:")</f>
        <v/>
      </c>
      <c r="O21" s="5" t="str">
        <f>IF(COUNTIF(E39,"_"),"",IF(COUNTIF(E39,"1.*"),ROUND(J18+J22+J30,2),IF(COUNTIF(E39,"3.*"),H46,IF(OR(COUNTIF(E39,"2.*"),COUNTIF(E39,"4.*")),IF(COUNTIF(K9,"2.*"),H49,ROUND((H49+H52+H55),2))))))</f>
        <v/>
      </c>
      <c r="S21" s="166" t="str">
        <f>IF(COUNTIF(C7,""),"",IF(OR(COUNTIF(K9,"1.*"),COUNTIF(K9,"3.*"),COUNTIF(K9,"7.*"),COUNTIF(K9,"10.*")),"75%",""))</f>
        <v/>
      </c>
      <c r="T21" s="171" t="str">
        <f>IF(COUNTIF(C7,""),"",IF(OR(COUNTIF(K9,"1.*"),COUNTIF(K9,"3.*"),COUNTIF(K9,"7.*"),COUNTIF(K9,"10.*")),IF(COUNTIF(J8,"*Younger*"),100%-12%-(I8*0.4%),IF(100%-12%+(I8*0.4%)&gt;100%,100%,100%-12%+(I8*0.4%))),""))</f>
        <v/>
      </c>
      <c r="U21" s="164" t="str">
        <f>IF(COUNTIF(C7,""),"",IF(OR(COUNTIF(K9,"1.*"),COUNTIF(K9,"3.*"),COUNTIF(K9,"7.*"),COUNTIF(K9,"10.*")),(O48)*T21,""))</f>
        <v/>
      </c>
      <c r="V21" s="165" t="str">
        <f>IF(COUNTIF(C7,""),"",IF(OR(COUNTIF(K9,"1.*"),COUNTIF(K9,"3.*"),COUNTIF(K9,"7.*"),COUNTIF(K9,"10.*")),U21*S21,""))</f>
        <v/>
      </c>
    </row>
    <row r="22" spans="1:22" ht="14.25" thickBot="1" x14ac:dyDescent="0.3">
      <c r="A22" s="120">
        <f>SUM(A20:A21)</f>
        <v>0</v>
      </c>
      <c r="B22" s="120">
        <f>SUM(B20:B21)</f>
        <v>0</v>
      </c>
      <c r="C22" s="120" t="str">
        <f>IF(COUNTIF(A39,"1.*"),SUM(C20:C21),"")</f>
        <v/>
      </c>
      <c r="D22" s="136" t="str">
        <f>IF(COUNTIF(A39,"1.*"),SUM(D20:D21),"")</f>
        <v/>
      </c>
      <c r="E22" s="120" t="str">
        <f>IF(COUNTIF(E39,"1.*"),SUM(E20:E21),"")</f>
        <v/>
      </c>
      <c r="F22" s="120" t="str">
        <f>IF(COUNTIF(E39,"1.*"),SUM(F20:F21),"")</f>
        <v/>
      </c>
      <c r="G22" s="182" t="s">
        <v>11</v>
      </c>
      <c r="H22" s="88">
        <f>SUM(H20:H21)</f>
        <v>0</v>
      </c>
      <c r="I22" s="88" t="str">
        <f>IF(COUNTIF(A39,"1.*"),SUM(I20:I21),"")</f>
        <v/>
      </c>
      <c r="J22" s="135" t="str">
        <f>IF(COUNTIF(E39,"1.*"),SUM(J20:J21),"")</f>
        <v/>
      </c>
      <c r="K22" s="77" t="str">
        <f>IF(COUNTIF(E39,"_"),"","Alternate Payee 2 13th Check:")</f>
        <v/>
      </c>
      <c r="O22" s="5" t="str">
        <f>IF(COUNTIF(E39,"_"),"",IF(COUNTIF(E39,"1.*"),ROUND(J18+J22,2),IF(COUNTIF(E39,"3.*"),H47,IF(OR(COUNTIF(E39,"2.*"),COUNTIF(E39,"4.*")),ROUND((H49+H52),2)))))</f>
        <v/>
      </c>
      <c r="S22" s="162" t="str">
        <f>IF(COUNTIF(C7,""),"",IF(OR(COUNTIF(K9,"1.*"),COUNTIF(K9,"3.*"),COUNTIF(K9,"7.*"),COUNTIF(K9,"10.*")),"13th Check",""))</f>
        <v/>
      </c>
      <c r="T22" s="163" t="str">
        <f>IF(COUNTIF(C7,""),"",IF(OR(COUNTIF(K9,"1.*"),COUNTIF(K9,"3.*"),COUNTIF(K9,"7.*"),COUNTIF(K9,"10.*")),IF(COUNTIF(J8,"*Younger*"),100%-12%-(I8*0.4%),IF(100%-12%+(I8*0.4%)&gt;100%,100%,100%-12%+(I8*0.4%))),""))</f>
        <v/>
      </c>
      <c r="U22" s="164" t="str">
        <f>IF(COUNTIF(C7,""),"",IF(OR(COUNTIF(K9,"1.*"),COUNTIF(K9,"3.*"),COUNTIF(K9,"7.*"),COUNTIF(K9,"10.*")),(O49)*T22,""))</f>
        <v/>
      </c>
      <c r="V22" s="165" t="str">
        <f>IF(COUNTIF(C7,""),"",IF(OR(COUNTIF(K9,"1.*"),COUNTIF(K9,"3.*"),COUNTIF(K9,"7.*"),COUNTIF(K9,"10.*")),U22*S21,""))</f>
        <v/>
      </c>
    </row>
    <row r="23" spans="1:22" ht="15" customHeight="1" thickBot="1" x14ac:dyDescent="0.3">
      <c r="A23" s="572" t="s">
        <v>13</v>
      </c>
      <c r="B23" s="573"/>
      <c r="C23" s="573"/>
      <c r="D23" s="573"/>
      <c r="E23" s="573"/>
      <c r="F23" s="573"/>
      <c r="G23" s="573"/>
      <c r="H23" s="573"/>
      <c r="I23" s="573"/>
      <c r="J23" s="574"/>
      <c r="K23" s="77"/>
      <c r="L23" s="2"/>
      <c r="O23" s="194"/>
      <c r="S23" s="166" t="str">
        <f>IF(COUNTIF(C7,""),"",IF(OR(COUNTIF(K9,"1.*"),COUNTIF(K9,"3.*"),COUNTIF(K9,"7.*"),COUNTIF(K9,"10.*")),"100%",""))</f>
        <v/>
      </c>
      <c r="T23" s="163" t="str">
        <f>IF(COUNTIF(C7,""),"",IF(OR(COUNTIF(K9,"1.*"),COUNTIF(K9,"3.*"),COUNTIF(K9,"7.*"),COUNTIF(K9,"10.*")),IF(COUNTIF(J8,"*Younger*"),100%-15%-(I8*0.5%),IF(100%-15%+(I8*0.5%)&gt;100%,100%,100%-15%+(I8*0.5%))),""))</f>
        <v/>
      </c>
      <c r="U23" s="164" t="str">
        <f>IF(COUNTIF(C7,""),"",IF(OR(COUNTIF(K9,"1.*"),COUNTIF(K9,"3.*"),COUNTIF(K9,"7.*"),COUNTIF(K9,"10.*")),(O48)*T23,""))</f>
        <v/>
      </c>
      <c r="V23" s="165" t="str">
        <f>IF(COUNTIF(C7,""),"",IF(OR(COUNTIF(K9,"1.*"),COUNTIF(K9,"3.*"),COUNTIF(K9,"7.*"),COUNTIF(K9,"10.*")),U23*S23,""))</f>
        <v/>
      </c>
    </row>
    <row r="24" spans="1:22" ht="14.25" thickBot="1" x14ac:dyDescent="0.3">
      <c r="A24" s="187"/>
      <c r="B24" s="131">
        <v>0.67</v>
      </c>
      <c r="C24" s="145"/>
      <c r="D24" s="137" t="str">
        <f>IF(COUNTIF(A39,"1.*"),C24*D45,"")</f>
        <v/>
      </c>
      <c r="E24" s="153"/>
      <c r="F24" s="137" t="str">
        <f>IF(COUNTIF(E39,"1.*"),E24*H45,"")</f>
        <v/>
      </c>
      <c r="G24" s="126">
        <v>105</v>
      </c>
      <c r="H24" s="126">
        <f>IF(AND(COUNTIF(A39,"1.*"),COUNTIF(E39,"1.*")),((A24+B24)*G24)-((D24*G24))+(F24*G24),IF(COUNTIF(A39,"1.*"),((A24+B24)*G24)-(D24*G24),IF(COUNTIF(E39,"1.*"),((A24+B24)*G24)-(F24*G24),((A24+B24)*G24))))</f>
        <v>70.350000000000009</v>
      </c>
      <c r="I24" s="31" t="str">
        <f>IF(COUNTIF(A39,"1.*"),SUM(D24*G24),"")</f>
        <v/>
      </c>
      <c r="J24" s="133" t="str">
        <f>IF(COUNTIF(E39,"1.*"),SUM(E24*G24),"")</f>
        <v/>
      </c>
      <c r="K24" s="96" t="s">
        <v>187</v>
      </c>
      <c r="L24" s="2"/>
      <c r="M24" s="2"/>
      <c r="N24" s="21">
        <f>SUM(A11:A17,B11:B17)</f>
        <v>10.67</v>
      </c>
      <c r="O24" s="5" t="e">
        <f>IF(AND(COUNTIF(A39,"1.*"),COUNTIF(E39,"1.*")),O14-(I18+J18),IF(AND(COUNTIF(A39,"1.*"),COUNTIF(E39,"2.*")),O14-(I18+(O14*H48)),IF(AND(COUNTIF(A39,"1.*"),COUNTIF(E39,"3.*")),O14-I18,IF(AND(COUNTIF(A39,"1.*"),COUNTIF(E39,"4.*")),O14-(I18+(O14*H48)),IF(AND(COUNTIF(A39,"2.*"),COUNTIF(E39,"1.*")),O14-((O14*D48)+J18),IF(AND(COUNTIF(A39,"2.*"),COUNTIF(E39,"2.*")),O14-((O14*D48)+(O14*H48)),IF(AND(COUNTIF(A39,"2.*"),COUNTIF(E39,"3.*")),O14-(O14*D48),IF(AND(COUNTIF(A39,"2.*"),COUNTIF(E39,"4.*")),O14-((O14*D48)+(O14*H48)),IF(AND(COUNTIF(A39,"3.*"),COUNTIF(E39,"1.*")),O14-J18,IF(AND(COUNTIF(A39,"3.*"),COUNTIF(E39,"2.*")),O14-(O14*H48),IF(AND(COUNTIF(A39,"3.*"),COUNTIF(E39,"3.*")),O14,IF(AND(COUNTIF(A39,"3.*"),COUNTIF(E39,"4.*")),O14-(O14*H48),IF(AND(COUNTIF(A39,"4.*"),COUNTIF(E39,"1.*")),O14-((O14*D48)+J18),IF(AND(COUNTIF(A39,"4.*"),COUNTIF(E39,"2.*")),O14-((O14*D48)+(O14*H48)),IF(AND(COUNTIF(A39,"4.*"),COUNTIF(E39,"3.*")),O14-(O14*D48),IF(AND(COUNTIF(A39,"4.*"),COUNTIF(E39,"4.*")),O14-((O14*D48)+(O14*H48)),IF(COUNTIF(A39,"1.*"),O14-ROUNDDOWN(O13*I18,2),IF(OR(COUNTIF(A39,"2.*"),COUNTIF(A39,"4.*")),O14-(O14*D48),IF(COUNTIF(E39,"1.*"),O14-J18,IF(OR(COUNTIF(E39,"2.*"),COUNTIF(E39,"4.*")),O14-(O14*H48),SUM(B11*G11,B12*G12,B13*G13,B14*G14,B15*G15,B16*G16,B17*G17)))))))))))))))))))))</f>
        <v>#VALUE!</v>
      </c>
      <c r="P24" s="3" t="e">
        <f>"$"&amp;ROUND(O24+O27+O30,2)</f>
        <v>#VALUE!</v>
      </c>
      <c r="Q24" s="3" t="e">
        <f>O24</f>
        <v>#VALUE!</v>
      </c>
      <c r="R24" s="3" t="e">
        <f>SUM(O24:O30)</f>
        <v>#VALUE!</v>
      </c>
      <c r="S24" s="172" t="str">
        <f>IF(COUNTIF(C7,""),"",IF(OR(COUNTIF(K9,"1.*"),COUNTIF(K9,"3.*"),COUNTIF(K9,"7.*"),COUNTIF(K9,"10.*")),"13th Check",""))</f>
        <v/>
      </c>
      <c r="T24" s="168" t="str">
        <f>IF(COUNTIF(C7,""),"",IF(OR(COUNTIF(K9,"1.*"),COUNTIF(K9,"3.*"),COUNTIF(K9,"7.*"),COUNTIF(K9,"10.*")),IF(COUNTIF(J8,"*Younger*"),100%-15%-(I8*0.5%),IF(100%-15%+(I8*0.5%)&gt;100%,100%,100%-15%+(I8*0.5%))),""))</f>
        <v/>
      </c>
      <c r="U24" s="169" t="str">
        <f>IF(COUNTIF(C7,""),"",IF(OR(COUNTIF(K9,"1.*"),COUNTIF(K9,"3.*"),COUNTIF(K9,"7.*"),COUNTIF(K9,"10.*")),(O49)*T24,""))</f>
        <v/>
      </c>
      <c r="V24" s="170" t="str">
        <f>IF(COUNTIF(C7,""),"",IF(OR(COUNTIF(K9,"1.*"),COUNTIF(K9,"3.*"),COUNTIF(K9,"7.*"),COUNTIF(K9,"10.*")),U24*S23,""))</f>
        <v/>
      </c>
    </row>
    <row r="25" spans="1:22" x14ac:dyDescent="0.25">
      <c r="A25" s="187"/>
      <c r="B25" s="131"/>
      <c r="C25" s="145"/>
      <c r="D25" s="137" t="str">
        <f>IF(COUNTIF(A39,"1.*"),C25*D45,"")</f>
        <v/>
      </c>
      <c r="E25" s="153"/>
      <c r="F25" s="137" t="str">
        <f>IF(COUNTIF(E39,"1.*"),E25*H45,"")</f>
        <v/>
      </c>
      <c r="G25" s="126">
        <v>125</v>
      </c>
      <c r="H25" s="126">
        <f>IF(AND(COUNTIF(A39,"1.*"),COUNTIF(E39,"1.*")),SUM(B25*G25)-((D25*G25)+(F25*G25)),IF(COUNTIF(A39,"1.*"),SUM(B25*G25)-(D25*G25),IF(COUNTIF(E39,"1.*"),SUM(B25*G25)-(F25*G25),B25*G25)))</f>
        <v>0</v>
      </c>
      <c r="I25" s="31" t="str">
        <f>IF(COUNTIF(A39,"1.*"),SUM(D25*G25),"")</f>
        <v/>
      </c>
      <c r="J25" s="126" t="str">
        <f>IF(COUNTIF(E39,"1.*"),SUM(E25*G25),"")</f>
        <v/>
      </c>
      <c r="K25" s="77" t="str">
        <f>IF(COUNTIF(K9,"1.*"),"ER Factor",IF(COUNTIF(K9,"10.*"),"Member Benefit from 09/01/2011 to 09/30/2014:",""))</f>
        <v/>
      </c>
      <c r="N25" s="1" t="str">
        <f>IF(COUNTIF(K9,"10.*"),SUM(A20:A21,B20:B21),"")</f>
        <v/>
      </c>
      <c r="O25" s="396" t="str">
        <f>IF(OR(COUNTIF(K9,"2.*"),COUNTIF(K9,"5.*"),COUNTIF(K9,"9.*")),"",IF(COUNTIF(K9,"1.*"),IF(DATEDIF(C3,C5,"m")&lt;=600,((DATEDIF(C3,C5,"m")-540)*0.1%+40%)*100&amp;"0%",IF(DATEDIF(C3,C5,"m")&lt;=660,((DATEDIF(C3,C5,"m")-600)*0.2%+46%)*100&amp;"0%",IF((DATEDIF(C3,C5,"m")-660)*0.5%+58%&gt;=100%,100%*100&amp;"%",((DATEDIF(C3,C5,"m")-660)*0.5%+58%)*100&amp;"0%"))),IF(OR(COUNTIF(K9,"2.*"),COUNTIF(K9,"3.*")),"",IF(OR(COUNTIF(K9,"3.*"),COUNTIF(K9,"4.*"),COUNTIF(K9,"5.*"),COUNTIF(K9,"6.*"),COUNTIF(K9,"7.*"),COUNTIF(K9,"8.*"),COUNTIF(K9,"9.*"),COUNTIF(K9,"10.*")),IF(AND(COUNTIF(A39,"1.*"),COUNTIF(E39,"1.*")),"$"&amp;ROUND(O15-(I22+J22),2),IF(AND(COUNTIF(A39,"1.*"),COUNTIF(E39,"2.*")),"$"&amp;ROUND(O15-(I22+(O15*H48)),2),IF(AND(COUNTIF(A39,"1.*"),COUNTIF(E39,"3.*")),"$"&amp;ROUND(O15-I22,2),IF(AND(COUNTIF(A39,"1.*"),COUNTIF(E39,"4.*")),"$"&amp;ROUND(O15-(I22+(O15*H48)),2),IF(AND(COUNTIF(A39,"2.*"),COUNTIF(E39,"1.*")),"$"&amp;ROUND(O15-((O15*D48)+J22),2),IF(AND(COUNTIF(A39,"2.*"),COUNTIF(E39,"2.*")),"$"&amp;ROUND(O15-((O15*D48)+(O15*H48)),2),IF(AND(COUNTIF(A39,"2.*"),COUNTIF(E39,"3.*")),"$"&amp;ROUND(O15-(O15*D48),2),IF(AND(COUNTIF(A39,"2.*"),COUNTIF(E39,"4.*")),"$"&amp;ROUND(O15-((O15*D48)+(O15*H48)),2),IF(AND(COUNTIF(A39,"3.*"),COUNTIF(E39,"1.*")),"$"&amp;ROUND(O15-J22,2),IF(AND(COUNTIF(A39,"3.*"),COUNTIF(E39,"2.*")),"$"&amp;ROUND(O15-(O15*H48),2),IF(AND(COUNTIF(A39,"3.*"),COUNTIF(E39,"3.*")),"$"&amp;O15,IF(AND(COUNTIF(A39,"3.*"),COUNTIF(E39,"4.*")),"$"&amp;ROUND(O15-(O15*H48),2),IF(AND(COUNTIF(A39,"4.*"),COUNTIF(E39,"1.*")),"$"&amp;ROUND(O15-((O15*D48)+J22),2),IF(AND(COUNTIF(A39,"4.*"),COUNTIF(E39,"2.*")),"$"&amp;ROUND(O15-((O15*D48)+(O15*H48)),2),IF(AND(COUNTIF(A39,"4.*"),COUNTIF(E39,"3.*")),"$"&amp;ROUND(O15-(O15*D48),2),IF(AND(COUNTIF(A39,"4.*"),COUNTIF(E39,"4.*")),"$"&amp;ROUND(O15-((O15*D48)+(O15*H48)),2),IF(COUNTIF(A39,"1.*"),"$"&amp;ROUND(O15-I22,2),IF(OR(COUNTIF(A39,"2.*"),COUNTIF(A39,"4.*")),"$"&amp;ROUND(O15-(O15*D48),2),IF(COUNTIF(E39,"1.*"),"$"&amp;ROUND(O15-J22,2),IF(OR(COUNTIF(E39,"2.*"),COUNTIF(E39,"4.*")),"$"&amp;ROUND(O15-(O15*H48),2),SUM(B20*G20,B21*G21)))))))))))))))))))))))))</f>
        <v/>
      </c>
    </row>
    <row r="26" spans="1:22" x14ac:dyDescent="0.25">
      <c r="A26" s="187"/>
      <c r="B26" s="131"/>
      <c r="C26" s="145"/>
      <c r="D26" s="137" t="str">
        <f>IF(COUNTIF(A39,"1.*"),C26*D45,"")</f>
        <v/>
      </c>
      <c r="E26" s="153"/>
      <c r="F26" s="137" t="str">
        <f>IF(COUNTIF(E39,"1.*"),E26*H45,"")</f>
        <v/>
      </c>
      <c r="G26" s="126">
        <v>135</v>
      </c>
      <c r="H26" s="126">
        <f>IF(AND(COUNTIF(A39,"1.*"),COUNTIF(E39,"1.*")),SUM(B26*G26)-((D26*G26)+(F26*G26)),IF(COUNTIF(A39,"1.*"),SUM(B26*G26)-(D26*G26),IF(COUNTIF(E39,"1.*"),SUM(B26*G26)-(F26*G26),B26*G26)))</f>
        <v>0</v>
      </c>
      <c r="I26" s="31" t="str">
        <f>IF(COUNTIF(A39,"1.*"),SUM(D26*G26),"")</f>
        <v/>
      </c>
      <c r="J26" s="126" t="str">
        <f>IF(COUNTIF(E39,"1.*"),SUM(E26*G26),"")</f>
        <v/>
      </c>
      <c r="K26" s="77" t="str">
        <f>IF(COUNTIF(K9,"1.*"),"ER Benefit Prior to 09/01/2011",IF(COUNTIF(K9,"10.*"),"Member Benefit on and After 10/01/2014:",""))</f>
        <v/>
      </c>
      <c r="N26" s="1" t="str">
        <f>IF(COUNTIF(K9,"10.*"),SUM(A24:A29,B24:B29,A33:A36,B33:B36),"")</f>
        <v/>
      </c>
      <c r="O26" s="5" t="str">
        <f>IF(COUNTIF(K9,"1.*"),(O24*O25),IF(OR(COUNTIF(K9,"2.*"),COUNTIF(K9,"5.*"),COUNTIF(K9,"9.*")),"",IF(AND(COUNTIF(A39,"1.*"),COUNTIF(E39,"1.*")),O16-(I30+J30),IF(AND(COUNTIF(A39,"1.*"),COUNTIF(E39,"2.*")),O16-(I30+(O16*H48)),IF(AND(COUNTIF(A39,"1.*"),COUNTIF(E39,"3.*")),O16-I30,IF(AND(COUNTIF(A39,"1.*"),COUNTIF(E39,"4.*")),O16-(I30+(O16*H48)),IF(AND(COUNTIF(A39,"2.*"),COUNTIF(E39,"1.*")),O16-((O16*D48)+J30),IF(AND(COUNTIF(A39,"2.*"),COUNTIF(E39,"2.*")),O16-((O16*D48)+(O16*H48)),IF(AND(COUNTIF(A39,"2.*"),COUNTIF(E39,"3.*")),O16-(O16*D48),IF(AND(COUNTIF(A39,"2.*"),COUNTIF(E39,"4.*")),O16-((O16*D48)+(O16*H48)),IF(AND(COUNTIF(A39,"3.*"),COUNTIF(E39,"1.*")),O16-J30,IF(AND(COUNTIF(A39,"3.*"),COUNTIF(E39,"2.*")),O16-(O16*H48),IF(AND(COUNTIF(A39,"3.*"),COUNTIF(E39,"3.*")),O16,IF(AND(COUNTIF(A39,"3.*"),COUNTIF(E39,"4.*")),O16-(O16*H48),IF(AND(COUNTIF(A39,"4.*"),COUNTIF(E39,"1.*")),O16-((O16*D48)+J18),IF(AND(COUNTIF(A39,"4.*"),COUNTIF(E39,"2.*")),O16-((O16*D48)+(O16*H48)),IF(AND(COUNTIF(A39,"4.*"),COUNTIF(E39,"3.*")),O16-(O16*D48),IF(AND(COUNTIF(A39,"4.*"),COUNTIF(E39,"4.*")),O16-((O16*D48)+(O16*H48)),IF(COUNTIF(A39,"1.*"),O16-I30,IF(OR(COUNTIF(A39,"2.*"),COUNTIF(A39,"4.*")),O16-(O16*D48),IF(COUNTIF(E39,"1.*"),O16-J30,IF(OR(COUNTIF(E39,"2.*"),COUNTIF(E39,"4.*")),O16-(O16*H48),SUM(B24*G24,B25*G25,B26*G26,B27*G27,B28*G28,B28*G28,B29*G29)))))))))))))))))))))))</f>
        <v/>
      </c>
    </row>
    <row r="27" spans="1:22" x14ac:dyDescent="0.25">
      <c r="A27" s="187"/>
      <c r="B27" s="131"/>
      <c r="C27" s="145"/>
      <c r="D27" s="137" t="str">
        <f>IF(COUNTIF(A39,"1.*"),C27*D45,"")</f>
        <v/>
      </c>
      <c r="E27" s="153"/>
      <c r="F27" s="137" t="str">
        <f>IF(COUNTIF(E39,"1.*"),E27*H45,"")</f>
        <v/>
      </c>
      <c r="G27" s="129">
        <v>70</v>
      </c>
      <c r="H27" s="126">
        <f>IF(AND(COUNTIF(A39,"1.*"),COUNTIF(E39,"1.*")),((A27+B27)*G27)-((D27*G27)+(F27*G27)),IF(COUNTIF(A39,"1.*"),((A27+B27)*G27)-(D27*G27),IF(COUNTIF(E39,"1.*"),((A27+B27)*G27)-(F27*G27),((A27+B27)*G27))))</f>
        <v>0</v>
      </c>
      <c r="I27" s="31" t="str">
        <f>IF(COUNTIF(A39,"1.*"),SUM(D27*G27),"")</f>
        <v/>
      </c>
      <c r="J27" s="126" t="str">
        <f>IF(COUNTIF(E39,"1.*"),SUM(E27*G27),"")</f>
        <v/>
      </c>
      <c r="K27" s="77" t="str">
        <f>IF(OR(COUNTIF(K9,"2.*"),COUNTIF(K9,"10.*")),"","Member Benefit from 09/01/2011 to 09/30/2014:")</f>
        <v>Member Benefit from 09/01/2011 to 09/30/2014:</v>
      </c>
      <c r="N27" s="1">
        <f>IF(OR(COUNTIF(K9,"2.*"),COUNTIF(K9,"10.*")),"",SUM(A20:A21,B20:B21))</f>
        <v>0</v>
      </c>
      <c r="O27" s="5">
        <f>IF(OR(COUNTIF(K9,"2.*"),COUNTIF(K9,"10*")),"",IF(AND(COUNTIF(A39,"1.*"),COUNTIF(E39,"1.*")),O15-(I22+J22),IF(AND(COUNTIF(A39,"1.*"),COUNTIF(E39,"2.*")),O15-(I22+(O15*H48)),IF(AND(COUNTIF(A39,"1.*"),COUNTIF(E39,"3.*")),O15-I22,IF(AND(COUNTIF(A39,"1.*"),COUNTIF(E39,"4.*")),O15-(I22+(O15*H48)),IF(AND(COUNTIF(A39,"2.*"),COUNTIF(E39,"1.*")),O15-((O15*D48)+J22),IF(AND(COUNTIF(A39,"2.*"),COUNTIF(E39,"2.*")),O15-((O15*D48)+(O15*H48)),IF(AND(COUNTIF(A39,"2.*"),COUNTIF(E39,"3.*")),O15-(O15*D48),IF(AND(COUNTIF(A39,"2.*"),COUNTIF(E39,"4.*")),O15-((O15*D48)+(O15*H48)),IF(AND(COUNTIF(A39,"3.*"),COUNTIF(E39,"1.*")),O15-J22,IF(AND(COUNTIF(A39,"3.*"),COUNTIF(E39,"2.*")),O15-(O15*H48),IF(AND(COUNTIF(A39,"3.*"),COUNTIF(E39,"3.*")),O15,IF(AND(COUNTIF(A39,"3.*"),COUNTIF(E39,"4.*")),O15-(O15*H48),IF(AND(COUNTIF(A39,"4.*"),COUNTIF(E39,"1.*")),O15-((O15*D48)+J22),IF(AND(COUNTIF(A39,"4.*"),COUNTIF(E39,"2.*")),O15-((O15*D48)+(O15*H48)),IF(AND(COUNTIF(A39,"4.*"),COUNTIF(E39,"3.*")),O15-(O15*D48),IF(AND(COUNTIF(A39,"4.*"),COUNTIF(E39,"4.*")),O15-((O15*D48)+(O15*H48)),IF(COUNTIF(A39,"1.*"),O15-I22,IF(OR(COUNTIF(A39,"2.*"),COUNTIF(A39,"4.*")),O15-(O15*D48),IF(COUNTIF(E39,"1.*"),O15-J22,IF(OR(COUNTIF(E39,"2.*"),COUNTIF(E39,"4.*")),O15-(O15*H48),SUM(B20*G20,B21*G21))))))))))))))))))))))</f>
        <v>0</v>
      </c>
      <c r="Q27" s="3">
        <f>O27</f>
        <v>0</v>
      </c>
    </row>
    <row r="28" spans="1:22" ht="15.75" customHeight="1" x14ac:dyDescent="0.25">
      <c r="A28" s="187"/>
      <c r="B28" s="131"/>
      <c r="C28" s="145"/>
      <c r="D28" s="137" t="str">
        <f>IF(COUNTIF(A39,"1.*"),C28*D45,"")</f>
        <v/>
      </c>
      <c r="E28" s="153"/>
      <c r="F28" s="137" t="str">
        <f>IF(COUNTIF(E39,"1.*"),E28*H45,"")</f>
        <v/>
      </c>
      <c r="G28" s="129"/>
      <c r="H28" s="126">
        <f>IF(AND(COUNTIF(A39,"1.*"),COUNTIF(E39,"1.*")),SUM(B28*G28)-((D28*G28)+(F28*G28)),IF(COUNTIF(A39,"1.*"),SUM(B28*G28)-(D28*G28),IF(COUNTIF(E39,"1.*"),SUM(B28*G28)-(F28*G28),B28*G28)))</f>
        <v>0</v>
      </c>
      <c r="I28" s="31" t="str">
        <f>IF(COUNTIF(A39,"1.*"),SUM(D28*G28),"")</f>
        <v/>
      </c>
      <c r="J28" s="126" t="str">
        <f>IF(COUNTIF(E39,"1.*"),SUM(E28*G28),"")</f>
        <v/>
      </c>
      <c r="K28" s="96" t="str">
        <f>IF(OR(COUNTIF(K9,"1.*"),COUNTIF(K9,"3.*")),"ER Factor",IF(COUNTIF(K9, "10.*"),"Member Delayed Calculation 1 Monthly Amount:",""))</f>
        <v/>
      </c>
      <c r="L28" s="101"/>
      <c r="M28" s="101"/>
      <c r="N28" s="101"/>
      <c r="O28" s="221" t="str">
        <f>IF(COUNTIF(K9,"10.*"),"$"&amp;ROUND(O24+O25+O26,2),IF(OR(COUNTIF(K9,"5.*"),COUNTIF(K9,"2.*"),COUNTIF(K9,"4.*"),COUNTIF(K9,"6.*"),COUNTIF(K9,"7.*"),COUNTIF(K9,"8.*"),COUNTIF(K9,"9.*")),"",IF(OR(COUNTIF(K9,"1.*"),COUNTIF(K9,"3.*")),IF(DATEDIF(C3,C5,"m")&lt;=600,((DATEDIF(C3,C5,"m")-540)*0.1%+22%)*100&amp;"0%",IF(DATEDIF(C3,C5,"m")&lt;=660,((DATEDIF(C3,C5,"m")-600)*0.2%+28%)*100&amp;"0%",IF((DATEDIF(C3,C5,"m")-660)*0.5%+40%&gt;=100%,100%,((DATEDIF(C3,C5,"m")-660)*0.5%+40%)*100&amp;"0%"))))))</f>
        <v/>
      </c>
    </row>
    <row r="29" spans="1:22" ht="14.25" thickBot="1" x14ac:dyDescent="0.3">
      <c r="A29" s="187"/>
      <c r="B29" s="132"/>
      <c r="C29" s="146"/>
      <c r="D29" s="138" t="str">
        <f>IF(COUNTIF(A39,"1.*"),C29*D45,"")</f>
        <v/>
      </c>
      <c r="E29" s="153"/>
      <c r="F29" s="137" t="str">
        <f>IF(COUNTIF(E39,"1.*"),E29*H45,"")</f>
        <v/>
      </c>
      <c r="G29" s="134"/>
      <c r="H29" s="126">
        <f>IF(AND(COUNTIF(A39,"1.*"),COUNTIF(E39,"1.*")),SUM(B29*G29)-((D29*G29)+(F29*G29)),IF(COUNTIF(A39,"1.*"),SUM(B29*G29)-(D29*G29),IF(COUNTIF(E39,"1.*"),SUM(B29*G29)-(F29*G29),B29*G29)))</f>
        <v>0</v>
      </c>
      <c r="I29" s="31" t="str">
        <f>IF(COUNTIF(A39,"1.*"),SUM(D29*G29),"")</f>
        <v/>
      </c>
      <c r="J29" s="126" t="str">
        <f>IF(COUNTIF(E39,"1.*"),SUM(E29*G29),"")</f>
        <v/>
      </c>
      <c r="K29" s="77" t="str">
        <f>IF(OR(COUNTIF(K9,"1.*"),COUNTIF(K9,"3.*")),"ER Benefit from 09/01/2011 to 09/30/2014",IF(COUNTIF(K9, "10.*"),"Member Delayed Calculation 1 13th Check Amount:",""))</f>
        <v/>
      </c>
      <c r="L29" s="101"/>
      <c r="M29" s="101"/>
      <c r="N29" s="101"/>
      <c r="O29" s="5" t="str">
        <f>IF(OR(COUNTIF(K9,"1.*"),COUNTIF(K9,"3.*")),O15*O28,IF(COUNTIF(K9, "10.*"),O24+O25,""))</f>
        <v/>
      </c>
    </row>
    <row r="30" spans="1:22" ht="14.25" thickBot="1" x14ac:dyDescent="0.3">
      <c r="A30" s="24">
        <f>SUM(A24:A29)</f>
        <v>0</v>
      </c>
      <c r="B30" s="24">
        <f>SUM(B24:B29)</f>
        <v>0.67</v>
      </c>
      <c r="C30" s="91" t="str">
        <f>IF(COUNTIF(A39,"1.*"),SUM(C24:C29),"")</f>
        <v/>
      </c>
      <c r="D30" s="91" t="str">
        <f>IF(COUNTIF(A39,"1.*"),SUM(D24:D29),"")</f>
        <v/>
      </c>
      <c r="E30" s="91" t="str">
        <f>IF(COUNTIF(E39,"1.*"),SUM(E24:E29),"")</f>
        <v/>
      </c>
      <c r="F30" s="91" t="str">
        <f>IF(COUNTIF(E39,"1.*"),SUM(F24:F29),"")</f>
        <v/>
      </c>
      <c r="G30" s="121" t="s">
        <v>11</v>
      </c>
      <c r="H30" s="26">
        <f>SUM(H24:H29)</f>
        <v>70.350000000000009</v>
      </c>
      <c r="I30" s="26" t="str">
        <f>IF(COUNTIF(A39,"1.*"),SUM(I24:I29),"")</f>
        <v/>
      </c>
      <c r="J30" s="135" t="str">
        <f>IF(COUNTIF(E39,"1.*"),SUM(J24:J29),"")</f>
        <v/>
      </c>
      <c r="K30" s="77" t="str">
        <f>IF(OR(COUNTIF(K9,"2.*"),COUNTIF(K9,"10.*")),"","Member Benefit on and After 10/01/2014:")</f>
        <v>Member Benefit on and After 10/01/2014:</v>
      </c>
      <c r="N30" s="1">
        <f>IF(OR(COUNTIF(K9,"2.*"),COUNTIF(K9,"10.*")),"",SUM(A24:A29,B24:B29))</f>
        <v>0.67</v>
      </c>
      <c r="O30" s="5">
        <f>IF(OR(COUNTIF(K9,"2.*"),COUNTIF(K9,"10.*")),"",IF(AND(COUNTIF(A39,"1.*"),COUNTIF(E39,"1.*")),O16-(I30+J30),IF(AND(COUNTIF(A39,"1.*"),COUNTIF(E39,"2.*")),O16-(I30+(O16*H48)),IF(AND(COUNTIF(A39,"1.*"),COUNTIF(E39,"3.*")),O16-I30,IF(AND(COUNTIF(A39,"1.*"),COUNTIF(E39,"4.*")),O16-(I30+(O16*H48)),IF(AND(COUNTIF(A39,"2.*"),COUNTIF(E39,"1.*")),O16-((O16*D48)+J30),IF(AND(COUNTIF(A39,"2.*"),COUNTIF(E39,"2.*")),O16-((O16*D48)+(O16*H48)),IF(AND(COUNTIF(A39,"2.*"),COUNTIF(E39,"3.*")),O16-(O16*D48),IF(AND(COUNTIF(A39,"2.*"),COUNTIF(E39,"4.*")),O16-((O16*D48)+(O16*H48)),IF(AND(COUNTIF(A39,"3.*"),COUNTIF(E39,"1.*")),O16-J30,IF(AND(COUNTIF(A39,"3.*"),COUNTIF(E39,"2.*")),O16-(O16*H48),IF(AND(COUNTIF(A39,"3.*"),COUNTIF(E39,"3.*")),O16,IF(AND(COUNTIF(A39,"3.*"),COUNTIF(E39,"4.*")),O16-(O16*H48),IF(AND(COUNTIF(A39,"4.*"),COUNTIF(E39,"1.*")),O16-((O16*D48)+J18),IF(AND(COUNTIF(A39,"4.*"),COUNTIF(E39,"2.*")),O16-((O16*D48)+(O16*H48)),IF(AND(COUNTIF(A39,"4.*"),COUNTIF(E39,"3.*")),O16-(O16*D48),IF(AND(COUNTIF(A39,"4.*"),COUNTIF(E39,"4.*")),O16-((O16*D48)+(O16*H48)),IF(COUNTIF(A39,"1.*"),O16-I30,IF(OR(COUNTIF(A39,"2.*"),COUNTIF(A39,"4.*")),O16-(O16*D48),IF(COUNTIF(E39,"1.*"),O16-J30,IF(OR(COUNTIF(E39,"2.*"),COUNTIF(E39,"4.*")),O16-(O16*H48),SUM(B24*G24,B25*G25,B26*G26,B27*G27,B28*G28,B28*G28,B29*G29))))))))))))))))))))))</f>
        <v>64.30693500000001</v>
      </c>
      <c r="Q30" s="3">
        <f>O30</f>
        <v>64.30693500000001</v>
      </c>
    </row>
    <row r="31" spans="1:22" ht="15.75" customHeight="1" thickBot="1" x14ac:dyDescent="0.3">
      <c r="A31" s="24">
        <f>SUM(A18,A22,A30)</f>
        <v>3.92</v>
      </c>
      <c r="B31" s="24">
        <f>SUM(B18,B22,B30)</f>
        <v>7.42</v>
      </c>
      <c r="C31" s="24" t="str">
        <f>IF(COUNTIF(A39,"1.*"),SUM(C18,C22,C30),"")</f>
        <v/>
      </c>
      <c r="D31" s="24" t="str">
        <f>IF(COUNTIF(A39,"1.*"),SUM(D18,D22,D30),"")</f>
        <v/>
      </c>
      <c r="E31" s="24" t="str">
        <f>IF(COUNTIF(E39,"1.*"),SUM(E18,E22,E30),"")</f>
        <v/>
      </c>
      <c r="F31" s="91" t="str">
        <f>IF(COUNTIF(E39,"1.*"),SUM(F18,F22,F30),"")</f>
        <v/>
      </c>
      <c r="G31" s="122" t="str">
        <f>IF(COUNTIF(K9,"10.*"),"Pre-65 Total","Total")</f>
        <v>Total</v>
      </c>
      <c r="H31" s="26">
        <f>SUM(H18,H22,H30)</f>
        <v>1349.2199999999998</v>
      </c>
      <c r="I31" s="26" t="str">
        <f>IF(COUNTIF(A39,"1.*"),SUM(I18,I22,I30),"")</f>
        <v/>
      </c>
      <c r="J31" s="135" t="str">
        <f>IF(COUNTIF(E39,"1.*"),SUM(J18,J22,J30),"")</f>
        <v/>
      </c>
      <c r="K31" s="77" t="str">
        <f>IF(OR(COUNTIF(K9,"1.*"),COUNTIF(K9,"3.*"),COUNTIF(K9,"7.*")),"ER Factor","")</f>
        <v/>
      </c>
      <c r="O31" s="389" t="str">
        <f>IF(OR(COUNTIF(K9,"1.*"),COUNTIF(K9,"3.*"),COUNTIF(K9,"7.*")),IF(DATEDIF(C3,C5,"m")&lt;=600,(DATEDIF(C3,C5,"m")-540)*0.1%+22%,IF(DATEDIF(C3,C5,"m")&lt;=660,(DATEDIF(C3,C5,"m")-600)*0.2%+28%,IF((DATEDIF(C3,C5,"m")-660)*0.5%+40%&gt;=100%,100%,(DATEDIF(C3,C5,"m")-660)*0.5%+40%))),"")</f>
        <v/>
      </c>
    </row>
    <row r="32" spans="1:22" ht="15.75" customHeight="1" thickBot="1" x14ac:dyDescent="0.3">
      <c r="A32" s="564" t="str">
        <f>IF(COUNTIF(K9, "10.*"),"Credits Earned After Age 65","")</f>
        <v/>
      </c>
      <c r="B32" s="565"/>
      <c r="C32" s="565"/>
      <c r="D32" s="565"/>
      <c r="E32" s="565"/>
      <c r="F32" s="565"/>
      <c r="G32" s="565"/>
      <c r="H32" s="565"/>
      <c r="I32" s="565"/>
      <c r="J32" s="566"/>
      <c r="K32" s="77" t="str">
        <f>IF(OR(COUNTIF(K9,"1.*"),COUNTIF(K9,"3.*"),COUNTIF(K9,"7.*")),"ER Benefit on or After 10/01/2014","")</f>
        <v/>
      </c>
      <c r="O32" s="7" t="str">
        <f>IF(OR(COUNTIF(K9,"1.*"),COUNTIF(K9,"3.*"),COUNTIF(K9,"7.*")),O16*O31,"")</f>
        <v/>
      </c>
    </row>
    <row r="33" spans="1:15" ht="15.75" customHeight="1" x14ac:dyDescent="0.25">
      <c r="A33" s="186"/>
      <c r="B33" s="130"/>
      <c r="C33" s="144"/>
      <c r="D33" s="136" t="str">
        <f>IF(COUNTIF(K9,"10.*"),IF(COUNTIF(E39,"1.*"),C33*D45,""),"")</f>
        <v/>
      </c>
      <c r="E33" s="150"/>
      <c r="F33" s="137" t="str">
        <f>IF(COUNTIF(K9,"10.*"),IF(COUNTIF(E39,"1.*"),E33*H45,""),"")</f>
        <v/>
      </c>
      <c r="G33" s="133">
        <f>IF(COUNTIF(K9, "10.*"),105,0)</f>
        <v>0</v>
      </c>
      <c r="H33" s="133"/>
      <c r="I33" s="133"/>
      <c r="J33" s="133"/>
      <c r="K33" s="77" t="str">
        <f>IF(COUNTIF(A39,"3.*"),"AP 1 Pay Status Reduction","")</f>
        <v/>
      </c>
      <c r="O33" s="391" t="str">
        <f>IF(COUNTIF(A39,"3.*"),D46,"")</f>
        <v/>
      </c>
    </row>
    <row r="34" spans="1:15" ht="15.75" customHeight="1" x14ac:dyDescent="0.25">
      <c r="A34" s="188"/>
      <c r="B34" s="131"/>
      <c r="C34" s="145"/>
      <c r="D34" s="137" t="str">
        <f>IF(COUNTIF(K9,"10.*"),IF(COUNTIF(E39,"1.*"),E34*D45,""),"")</f>
        <v/>
      </c>
      <c r="E34" s="151"/>
      <c r="F34" s="137" t="str">
        <f>IF(COUNTIF(K9,"10.*"),IF(COUNTIF(E39,"1.*"),E34*H45,""),"")</f>
        <v/>
      </c>
      <c r="G34" s="126">
        <f>IF(COUNTIF(K9, "10.*"),135,0)</f>
        <v>0</v>
      </c>
      <c r="H34" s="126"/>
      <c r="I34" s="126"/>
      <c r="J34" s="126"/>
      <c r="K34" s="77" t="str">
        <f>IF(COUNTIF(E39,"3.*"),"AP 2 Pay Status Reduction","")</f>
        <v/>
      </c>
      <c r="O34" s="391" t="str">
        <f>IF(COUNTIF(E39,"3.*"),H46,"")</f>
        <v/>
      </c>
    </row>
    <row r="35" spans="1:15" ht="15.75" customHeight="1" x14ac:dyDescent="0.25">
      <c r="A35" s="188"/>
      <c r="B35" s="131"/>
      <c r="C35" s="145"/>
      <c r="D35" s="137" t="str">
        <f>IF(COUNTIF(K9,"10.*"),IF(COUNTIF(E39,"1.*"),E35*D45,""),"")</f>
        <v/>
      </c>
      <c r="E35" s="151"/>
      <c r="F35" s="137" t="str">
        <f>IF(COUNTIF(K9,"10.*"),IF(COUNTIF(E39,"1.*"),E35*H45,""),"")</f>
        <v/>
      </c>
      <c r="G35" s="129"/>
      <c r="H35" s="126"/>
      <c r="I35" s="126"/>
      <c r="J35" s="126"/>
      <c r="K35" s="77"/>
      <c r="O35" s="391"/>
    </row>
    <row r="36" spans="1:15" ht="15.75" customHeight="1" thickBot="1" x14ac:dyDescent="0.3">
      <c r="A36" s="189"/>
      <c r="B36" s="132"/>
      <c r="C36" s="146"/>
      <c r="D36" s="138" t="str">
        <f>IF(COUNTIF(K9,"10.*"),IF(COUNTIF(E39,"1.*"),E36*D45,""),"")</f>
        <v/>
      </c>
      <c r="E36" s="152"/>
      <c r="F36" s="137" t="str">
        <f>IF(COUNTIF(K9,"10.*"),IF(COUNTIF(E39,"1.*"),E36*H45,""),"")</f>
        <v/>
      </c>
      <c r="G36" s="134"/>
      <c r="H36" s="127"/>
      <c r="I36" s="127"/>
      <c r="J36" s="127"/>
      <c r="K36" s="395" t="str">
        <f>IF(COUNTIF(K9, "10.*"),"Member Delayed Calculation 1 Monthly Amount:","")</f>
        <v/>
      </c>
      <c r="L36" s="101"/>
      <c r="M36" s="101"/>
      <c r="N36" s="101"/>
      <c r="O36" s="394" t="str">
        <f>IF(COUNTIF(K9, "10.*"),SUM(O24,O27,O30),"")</f>
        <v/>
      </c>
    </row>
    <row r="37" spans="1:15" ht="15.75" customHeight="1" thickBot="1" x14ac:dyDescent="0.3">
      <c r="A37" s="91" t="str">
        <f>IF(COUNTIF(K9,"10.*"),SUM(A33:A36),"")</f>
        <v/>
      </c>
      <c r="B37" s="91" t="str">
        <f>IF(COUNTIF(K9,"10.*"),SUM(B33:B36),"")</f>
        <v/>
      </c>
      <c r="C37" s="91" t="str">
        <f>IF(COUNTIF(K9,"10.*"),SUM(C33:C36),"")</f>
        <v/>
      </c>
      <c r="D37" s="91" t="str">
        <f>IF(COUNTIF(K9,"10.*"),SUM(D33:D36),"")</f>
        <v/>
      </c>
      <c r="E37" s="91" t="str">
        <f>IF(COUNTIF(K9,"10.*"),SUM(E33:E36),"")</f>
        <v/>
      </c>
      <c r="F37" s="91" t="str">
        <f>IF(COUNTIF(K9,"10.*"),SUM(F33:F36),"")</f>
        <v/>
      </c>
      <c r="G37" s="121" t="str">
        <f>IF(COUNTIF(K9, "10.*"),"Post-65 Total","")</f>
        <v/>
      </c>
      <c r="H37" s="135" t="str">
        <f>IF(COUNTIF(K9,"10.*"),SUM(H33:H36),"")</f>
        <v/>
      </c>
      <c r="I37" s="135" t="str">
        <f>IF(COUNTIF(K9,"10.*"),SUM(I33:I36),"")</f>
        <v/>
      </c>
      <c r="J37" s="135" t="str">
        <f>IF(COUNTIF(K9,"10.*"),SUM(J33:J36),"")</f>
        <v/>
      </c>
      <c r="K37" s="395" t="str">
        <f>IF(COUNTIF(K9, "10.*"),"Member Delayed Calculation 1 13th Check Amount:","")</f>
        <v/>
      </c>
      <c r="L37" s="101"/>
      <c r="M37" s="101"/>
      <c r="N37" s="101"/>
      <c r="O37" s="394" t="str">
        <f>IF(COUNTIF(K9, "10.*"),SUM(O24,O27),"")</f>
        <v/>
      </c>
    </row>
    <row r="38" spans="1:15" ht="15.75" customHeight="1" thickBot="1" x14ac:dyDescent="0.3">
      <c r="A38" s="185" t="str">
        <f>IF(COUNTIF(K9,"10.*"),SUM(A18,A22,A30,A37),"")</f>
        <v/>
      </c>
      <c r="B38" s="185" t="str">
        <f>IF(COUNTIF(K9,"10.*"),SUM(B18,B22,B30,B37),"")</f>
        <v/>
      </c>
      <c r="C38" s="185" t="str">
        <f>IF(COUNTIF(K9,"10.*"),SUM(C18,C22,C30,C37),"")</f>
        <v/>
      </c>
      <c r="D38" s="185" t="str">
        <f>IF(COUNTIF(K9,"10.*"),SUM(D18,D22,D30,D37),"")</f>
        <v/>
      </c>
      <c r="E38" s="185" t="str">
        <f>IF(COUNTIF(K9,"10.*"),SUM(E18,E22,E30,E37),"")</f>
        <v/>
      </c>
      <c r="F38" s="185" t="str">
        <f>IF(COUNTIF(K9,"10.*"),SUM(F18,F22,F30,F37),"")</f>
        <v/>
      </c>
      <c r="G38" s="184" t="str">
        <f>IF(COUNTIF(K9, "10.*"),"Total","")</f>
        <v/>
      </c>
      <c r="H38" s="183" t="str">
        <f>IF(COUNTIF(K9,"10.*"),SUM(H18,H22,H30,H37),"")</f>
        <v/>
      </c>
      <c r="I38" s="183" t="str">
        <f>IF(COUNTIF(K9,"10.*"),SUM(I18,I22,I30,I37),"")</f>
        <v/>
      </c>
      <c r="J38" s="183" t="str">
        <f>IF(COUNTIF(K9,"10.*"),SUM(J18,J22,J30,J37),"")</f>
        <v/>
      </c>
      <c r="K38" s="77" t="str">
        <f>IF(COUNTIF(K9, "10.*"),"Date Member turned 65:","")</f>
        <v/>
      </c>
      <c r="O38" s="393" t="str">
        <f>IF(COUNTIF(K9, "10.*"),EDATE(C3,65*12),"")</f>
        <v/>
      </c>
    </row>
    <row r="39" spans="1:15" ht="14.65" customHeight="1" thickBot="1" x14ac:dyDescent="0.3">
      <c r="A39" s="671" t="s">
        <v>189</v>
      </c>
      <c r="B39" s="672"/>
      <c r="C39" s="672"/>
      <c r="D39" s="673"/>
      <c r="E39" s="671" t="s">
        <v>193</v>
      </c>
      <c r="F39" s="672"/>
      <c r="G39" s="672"/>
      <c r="H39" s="673"/>
      <c r="K39" s="77" t="str">
        <f>IF(DATEDIF(C3,C5,"m")&gt;=846,"Date Member turned 70 1/2:","")</f>
        <v/>
      </c>
      <c r="O39" s="392" t="str">
        <f>IF(DATEDIF(C3,C5,"m")&gt;=846,EDATE(C3,70*12+6),"")</f>
        <v/>
      </c>
    </row>
    <row r="40" spans="1:15" ht="14.65" customHeight="1" thickBot="1" x14ac:dyDescent="0.3">
      <c r="A40" s="181"/>
      <c r="B40" s="179"/>
      <c r="C40" s="179"/>
      <c r="D40" s="180"/>
      <c r="E40" s="181"/>
      <c r="F40" s="179"/>
      <c r="G40" s="179"/>
      <c r="H40" s="180"/>
      <c r="K40" s="77" t="str">
        <f>IF(COUNTIF(K9, "10.*"),"Member Pre-65 Monthly Pension Amount:","")</f>
        <v/>
      </c>
      <c r="O40" s="391"/>
    </row>
    <row r="41" spans="1:15" ht="15.75" customHeight="1" thickBot="1" x14ac:dyDescent="0.3">
      <c r="A41" s="561" t="str">
        <f>IF(COUNTIF(A39,"_"),"","AP 1 QDRO Calculation")</f>
        <v>AP 1 QDRO Calculation</v>
      </c>
      <c r="B41" s="562"/>
      <c r="C41" s="562"/>
      <c r="D41" s="563"/>
      <c r="E41" s="561" t="str">
        <f>IF(COUNTIF(E39,"_"),"","AP 2 QDRO Calculation")</f>
        <v/>
      </c>
      <c r="F41" s="562"/>
      <c r="G41" s="562"/>
      <c r="H41" s="563"/>
      <c r="K41" s="77" t="str">
        <f>IF(COUNTIF(K9, "10.*"),"Member Pre-65 13th Check Amount:","")</f>
        <v/>
      </c>
      <c r="O41" s="391"/>
    </row>
    <row r="42" spans="1:15" ht="27" customHeight="1" x14ac:dyDescent="0.25">
      <c r="A42" s="77" t="str">
        <f>IF(COUNTIF(A39,"_"),"","AP 1 Name:")</f>
        <v>AP 1 Name:</v>
      </c>
      <c r="B42" s="176" t="s">
        <v>322</v>
      </c>
      <c r="C42" s="111" t="str">
        <f>IF(COUNTIF(A39,"_"),"","AP 1 DOB:")</f>
        <v>AP 1 DOB:</v>
      </c>
      <c r="D42" s="173">
        <v>29940</v>
      </c>
      <c r="E42" s="77" t="str">
        <f>IF(COUNTIF(E39,"_"),"","AP 2 Name:")</f>
        <v/>
      </c>
      <c r="F42" s="177"/>
      <c r="G42" s="111" t="str">
        <f>IF(COUNTIF(E39,"_"),"","AP 2 DOB:")</f>
        <v/>
      </c>
      <c r="H42" s="155"/>
      <c r="K42" s="77" t="str">
        <f>IF(COUNTIF(K9, "10.*"),"First 60 months with 40 hours or less (1.00%):","")</f>
        <v/>
      </c>
      <c r="O42" s="390"/>
    </row>
    <row r="43" spans="1:15" x14ac:dyDescent="0.25">
      <c r="A43" s="77" t="str">
        <f>IF(COUNTIF(A39,"_"),"","DOM:")</f>
        <v>DOM:</v>
      </c>
      <c r="B43" s="174">
        <v>38388</v>
      </c>
      <c r="C43" s="1" t="str">
        <f>IF(COUNTIF(A39,"_"),"","DOS:")</f>
        <v>DOS:</v>
      </c>
      <c r="D43" s="175">
        <v>39773</v>
      </c>
      <c r="E43" s="77" t="str">
        <f>IF(COUNTIF(E39,"_"),"","DOM:")</f>
        <v/>
      </c>
      <c r="F43" s="154"/>
      <c r="G43" s="1" t="str">
        <f>IF(COUNTIF(E39,"_"),"","DOS:")</f>
        <v/>
      </c>
      <c r="H43" s="156"/>
      <c r="K43" s="77" t="str">
        <f>IF(COUNTIF(K9, "10.*"),"61 + months with 40 hours or less (1.50%):","")</f>
        <v/>
      </c>
      <c r="O43" s="390"/>
    </row>
    <row r="44" spans="1:15" ht="27.75" customHeight="1" x14ac:dyDescent="0.25">
      <c r="A44" s="142" t="str">
        <f>IF(COUNTIF(A39,"_"),"",IF(COUNTIF(A39,"2.*"),"Total Service Credits:",IF(COUNTIF(A39,"4.*"),"Total Months Worked","")))</f>
        <v>Total Service Credits:</v>
      </c>
      <c r="B44" s="112">
        <f>IF(COUNTIF(A39,"_"),"",IF(COUNTIF(A39,"2.*"),SUM(B11:B17,B20:B21,B24:B29),IF(COUNTIF(A39,"4.*"),SUM('[1]QDRO Month Calc'!B4:B69),"")))</f>
        <v>7.42</v>
      </c>
      <c r="C44" s="143" t="str">
        <f>IF(COUNTIF(A39,"_"),"",IF(COUNTIF(A39,"2.*"),"Total Credits EDM:",IF(COUNTIF(A39,"3.*"),"",IF(COUNTIF(A39,"4.*"),"Total Months Worked During Marriage",""))))</f>
        <v>Total Credits EDM:</v>
      </c>
      <c r="D44" s="147"/>
      <c r="E44" s="142" t="str">
        <f>IF(COUNTIF(E39,"_"),"",IF(COUNTIF(E39,"2.*"),"Total Service Credits:",IF(COUNTIF(E39,"4.*"),"Total Months Worked","")))</f>
        <v/>
      </c>
      <c r="F44" s="112" t="str">
        <f>IF(COUNTIF(E39,"_"),"",IF(COUNTIF(E39,"2.*"),SUM(B11:B17,B20:B21,B24:B29),IF(COUNTIF(E39,"4.*"),SUM('[1]QDRO Month Calc'!H4:H69),"")))</f>
        <v/>
      </c>
      <c r="G44" s="143" t="str">
        <f>IF(COUNTIF(E39,"_"),"",IF(COUNTIF(E39,"2.*"),"Total Credits EDM:",IF(COUNTIF(E39,"3.*"),"",IF(COUNTIF(E39,"4.*"),"Total Months Worked During Marriage",""))))</f>
        <v/>
      </c>
      <c r="H44" s="157">
        <v>3.91</v>
      </c>
      <c r="K44" s="77" t="str">
        <f>IF(COUNTIF(K9, "10.*"),"Delayed Calc 2 Retirement Increase:","")</f>
        <v/>
      </c>
      <c r="O44" s="113" t="str">
        <f>IF(COUNTIF(K9, "10.*"),((O42*1%)+(O43*1.5%)),"")</f>
        <v/>
      </c>
    </row>
    <row r="45" spans="1:15" ht="54" x14ac:dyDescent="0.25">
      <c r="A45" s="142" t="str">
        <f>IF(COUNTIF(A39,"_"),"",IF(OR(COUNTIF(A39,"2.*"),COUNTIF(A39,"4.*")),"Community Property Percentage:",""))</f>
        <v>Community Property Percentage:</v>
      </c>
      <c r="B45" s="102">
        <f>IF(COUNTIF(A39,"_"),"",IF(OR(COUNTIF(A39,"2.*"),COUNTIF(A39,"4.*")),ROUNDDOWN(SUM(D44/B44),4),""))</f>
        <v>0</v>
      </c>
      <c r="C45" s="141" t="str">
        <f>IF(COUNTIF(A39,"_"),"",IF(OR(COUNTIF(A39,"1.*"),COUNTIF(A39,"2.*"),COUNTIF(A39,"4.*")),"Percentage Amount Awarded to AP 1:",""))</f>
        <v>Percentage Amount Awarded to AP 1:</v>
      </c>
      <c r="D45" s="148">
        <v>1</v>
      </c>
      <c r="E45" s="142" t="str">
        <f>IF(COUNTIF(E39,"_"),"",IF(OR(COUNTIF(E39,"2.*"),COUNTIF(E39,"4.*")),"Community Property Percentage:",""))</f>
        <v/>
      </c>
      <c r="F45" s="102" t="str">
        <f>IF(COUNTIF(E39,"_"),"",IF(OR(COUNTIF(E39,"2.*"),COUNTIF(E39,"4.*")),ROUNDDOWN(SUM(H44/F44),4),""))</f>
        <v/>
      </c>
      <c r="G45" s="141" t="str">
        <f>IF(COUNTIF(E39,"_"),"",IF(OR(COUNTIF(E39,"1.*"),COUNTIF(E39,"2.*"),COUNTIF(E39,"4.*")),"Percentage Amount Awarded to AP 2:",""))</f>
        <v/>
      </c>
      <c r="H45" s="158">
        <v>0.5</v>
      </c>
      <c r="K45" s="77"/>
      <c r="O45" s="389"/>
    </row>
    <row r="46" spans="1:15" x14ac:dyDescent="0.25">
      <c r="A46" s="77" t="str">
        <f>IF(COUNTIF(A39,"_"),"",IF(COUNTIF(A39,"3.*"),"AP 1 Awarded Monthly Amount:",""))</f>
        <v/>
      </c>
      <c r="D46" s="149"/>
      <c r="E46" s="77" t="str">
        <f>IF(COUNTIF(E39,"_"),"",IF(COUNTIF(E39,"3.*"),"AP 2 Awarded Monthly Amount:",""))</f>
        <v/>
      </c>
      <c r="H46" s="159"/>
      <c r="K46" s="388" t="str">
        <f>IF(AND(COUNTIF(A39,"_"),COUNTIF(E39,"_")),"","Member Monthly Benefit After AP Reductions:")</f>
        <v>Member Monthly Benefit After AP Reductions:</v>
      </c>
      <c r="L46" s="160"/>
      <c r="M46" s="160"/>
      <c r="N46" s="160"/>
      <c r="O46" s="387" t="e">
        <f>IF(AND(COUNTIF(A39,"_"),COUNTIF(E39,"_")),"",IF(COUNTIF(K9,"1.*"),SUM(O26,O29,O32),IF(COUNTIF(K9,"3.*"),SUM(O24,O29,O32),IF(COUNTIF(K9,"7.*"),(O24+O27+O32),(O24+O27+O30)))))</f>
        <v>#VALUE!</v>
      </c>
    </row>
    <row r="47" spans="1:15" x14ac:dyDescent="0.25">
      <c r="A47" s="77" t="str">
        <f>IF(COUNTIF(A39,"_"),"",IF(COUNTIF(A39,"3.*"),"AP 1 Awarded 13th Check Amount:",""))</f>
        <v/>
      </c>
      <c r="D47" s="149"/>
      <c r="E47" s="77" t="str">
        <f>IF(COUNTIF(E39,"_"),"",IF(COUNTIF(E39,"3.*"),"AP 2 Awarded 13th Check Amount:",""))</f>
        <v/>
      </c>
      <c r="H47" s="159"/>
      <c r="K47" s="388" t="str">
        <f>IF(AND(COUNTIF(A39,"_"),COUNTIF(E39,"_")),"","Member 13th Check After AP Reductions:")</f>
        <v>Member 13th Check After AP Reductions:</v>
      </c>
      <c r="L47" s="160"/>
      <c r="M47" s="160"/>
      <c r="N47" s="160"/>
      <c r="O47" s="387" t="e">
        <f>IF(AND(COUNTIF(A39,"_"),COUNTIF(E39,"_")),"",IF(COUNTIF(K9,"1.*"),SUM(O26,O29),IF(COUNTIF(K9,"3.*"),SUM(O24,O29),ROUND(O24+O27,2))))</f>
        <v>#VALUE!</v>
      </c>
    </row>
    <row r="48" spans="1:15" x14ac:dyDescent="0.25">
      <c r="A48" s="77" t="str">
        <f>IF(COUNTIF(A39,"_"),"",IF(OR(COUNTIF(A39,"2.*"),COUNTIF(A39,"4.*")),"Final AP 1 Awarded Percentage:",""))</f>
        <v>Final AP 1 Awarded Percentage:</v>
      </c>
      <c r="D48" s="113">
        <f>IF(COUNTIF(A39,"_"),"",IF(OR(COUNTIF(A39,"2.*"),COUNTIF(A39,"4.*")),ROUNDDOWN(SUM(B45*D45),4),""))</f>
        <v>0</v>
      </c>
      <c r="E48" s="77" t="str">
        <f>IF(COUNTIF(E39,"_"),"",IF(OR(COUNTIF(E39,"2.*"),COUNTIF(E39,"4.*")),"Final AP 2 Awarded Percentage:",""))</f>
        <v/>
      </c>
      <c r="H48" s="113" t="str">
        <f>IF(COUNTIF(E39,"_"),"",IF(OR(COUNTIF(E39,"2.*"),COUNTIF(E39,"4.*")),ROUNDDOWN(SUM(F45*H45),4),""))</f>
        <v/>
      </c>
      <c r="K48" s="388" t="str">
        <f>IF(AND(COUNTIF(A39,"_"),COUNTIF(E39,"_")),"",IF(OR(COUNTIF(K9,"1.*"),COUNTIF(K9,"3.*"),COUNTIF(K9,"7.*")),"Member Benefit Deferred at Age 65 After AP Reductions:",""))</f>
        <v/>
      </c>
      <c r="L48" s="160"/>
      <c r="M48" s="160"/>
      <c r="N48" s="160"/>
      <c r="O48" s="387" t="str">
        <f>IF(AND(COUNTIF(A39,"_"),COUNTIF(E39,"_")),"",IF(OR(COUNTIF(K9,"1.*"),COUNTIF(K9,"3.*"),COUNTIF(K9,"7.*")),SUM(O24,O27,O30),""))</f>
        <v/>
      </c>
    </row>
    <row r="49" spans="1:17" ht="15.75" customHeight="1" thickBot="1" x14ac:dyDescent="0.3">
      <c r="A49" s="77" t="str">
        <f>IF(COUNTIF(A39,"_"),"",IF(OR(COUNTIF(A39,"1.*"),COUNTIF(A39,"2.*"),COUNTIF(A39,"4.*")),"AP 1 Full Benefit Prior to 09/01/2011:",""))</f>
        <v>AP 1 Full Benefit Prior to 09/01/2011:</v>
      </c>
      <c r="D49" s="5" t="e">
        <f>IF(COUNTIF(A39,"_"),"",IF(OR(COUNTIF(A39,"2.*"),COUNTIF(A39,"4.*")),O14*D48,IF(COUNTIF(A39,"1.*"),I18*O13,"")))</f>
        <v>#VALUE!</v>
      </c>
      <c r="E49" s="77" t="str">
        <f>IF(COUNTIF(E39,"_"),"",IF(OR(COUNTIF(E39,"1.*"),COUNTIF(E39,"2.*"),COUNTIF(E39,"4.*")),"AP 2 Full Benefit Prior to 09/01/2011:",""))</f>
        <v/>
      </c>
      <c r="H49" s="5" t="str">
        <f>IF(COUNTIF(E39,"_"),"",IF(OR(COUNTIF(E39,"2.*"),COUNTIF(E39,"4.*")),O14*H48,IF(COUNTIF(E39,"1.*"),J18,"")))</f>
        <v/>
      </c>
      <c r="J49" s="2"/>
      <c r="K49" s="386" t="str">
        <f>IF(AND(COUNTIF(A39,"_"),COUNTIF(E39,"_")),"",IF(OR(COUNTIF(K9,"1.*"),COUNTIF(K9,"3.*"),COUNTIF(K9,"7.*")),"Member 13th Check After AP Reductions:",""))</f>
        <v/>
      </c>
      <c r="L49" s="385"/>
      <c r="M49" s="385"/>
      <c r="N49" s="385"/>
      <c r="O49" s="384" t="str">
        <f>IF(AND(COUNTIF(A39,"_"),COUNTIF(E39,"_")),"",IF(OR(COUNTIF(K9,"1.*"),COUNTIF(K9,"3.*"),COUNTIF(K9,"7.*")),SUM(O24,O27),""))</f>
        <v/>
      </c>
      <c r="Q49" s="2"/>
    </row>
    <row r="50" spans="1:17" x14ac:dyDescent="0.25">
      <c r="A50" s="77" t="str">
        <f>IF(COUNTIF(A39,"_"),"",IF(OR(COUNTIF(A39,"1.*"),COUNTIF(A39,"2.*"),COUNTIF(A39,"4.*")),IF(OR(COUNTIF(K9,"1.*"),COUNTIF(K9,"6.*")),"AP 1 Early Retirement Factor:",""),""))</f>
        <v/>
      </c>
      <c r="D50" s="113" t="str">
        <f>IF(OR(COUNTIF(A39,"1.*"),COUNTIF(A39,"2.*"),COUNTIF(A39,"4.*")),IF(OR(COUNTIF(K9,"1.*"),COUNTIF(K9,"6.*")),IF(DATEDIF(C3,C5,"m")&lt;=600,(DATEDIF(C3,C5,"m")-540)*0.1%+40%,IF(DATEDIF(C3,C5,"m")&lt;=660,(DATEDIF(C3,C5,"m")-600)*0.2%+46%,IF((DATEDIF(C3,C5,"m")-660)*0.5%+58%&gt;=100%,100%,(DATEDIF(C3,C5,"m")-660)*0.5%+58%))),""),"")</f>
        <v/>
      </c>
      <c r="E50" s="77" t="str">
        <f>IF(COUNTIF(E39,"_"),"",IF(OR(COUNTIF(E39,"1.*"),COUNTIF(E39,"2.*"),COUNTIF(E39,"4.*")),IF(OR(COUNTIF(K9,"1.*"),COUNTIF(K9,"6.*")),"AP 2 Early Retirement Factor:",""),""))</f>
        <v/>
      </c>
      <c r="H50" s="113" t="str">
        <f>IF(OR(COUNTIF(E39,"1.*"),COUNTIF(E39,"2.*"),COUNTIF(E39,"4.*")),IF(OR(COUNTIF(K9,"1.*"),COUNTIF(K9,"6.*")),IF(DATEDIF(C3,C5,"m")&lt;=600,(DATEDIF(C3,C5,"m")-540)*0.1%+40%,IF(DATEDIF(C3,C5,"m")&lt;=660,(DATEDIF(C3,C5,"m")-600)*0.2%+46%,IF((DATEDIF(C3,C5,"m")-660)*0.5%+58%&gt;=100%,100%,(DATEDIF(C3,C5,"m")-660)*0.5%+58%))),""),"")</f>
        <v/>
      </c>
    </row>
    <row r="51" spans="1:17" x14ac:dyDescent="0.25">
      <c r="A51" s="77" t="str">
        <f>IF(COUNTIF(A39,"_"),"",IF(OR(COUNTIF(A39,"1.*"),COUNTIF(A39,"2.*"),COUNTIF(A39,"4.*")),IF(OR(COUNTIF(K9,"1.*"),COUNTIF(K9,"6.*")),"AP 1 Early Benefit Prior to 09/01/2011:",""),""))</f>
        <v/>
      </c>
      <c r="D51" s="5" t="str">
        <f>IF(OR(COUNTIF(A39,"_"),COUNTIF(A39,"1.*"),COUNTIF(A39,"3.*")),"",IF(OR(COUNTIF(A39,"2.*"),COUNTIF(A39,"4.*")),IF(OR(COUNTIF(K9,"1.*"),COUNTIF(K9,"6.*")),D49*D50,""),IF(COUNTIF(A39,"1.*"),IF(OR(COUNTIF(K9,"1.*"),COUNTIF(K9,"6.*")),D49*D50,D49))))</f>
        <v/>
      </c>
      <c r="E51" s="77" t="str">
        <f>IF(COUNTIF(E39,"_"),"",IF(OR(COUNTIF(E39,"1.*"),COUNTIF(E39,"2.*"),COUNTIF(E39,"4.*")),IF(OR(COUNTIF(K9,"1.*"),COUNTIF(K9,"6.*")),"AP 2 Early Benefit Prior to 09/01/2011:",""),""))</f>
        <v/>
      </c>
      <c r="H51" s="5" t="str">
        <f>IF(OR(COUNTIF(E39,"_"),COUNTIF(E39,"3.*")),"",IF(OR(COUNTIF(E39,"2.*"),COUNTIF(E39,"4.*")),IF(OR(COUNTIF(K9,"1.*"),COUNTIF(K9,"6.*")),H49*H50,""),IF(COUNTIF(E39,"1.*"),IF(OR(COUNTIF(K9,"1.*"),COUNTIF(K9,"6.*")),H49*H50,""))))</f>
        <v/>
      </c>
      <c r="J51" s="119"/>
    </row>
    <row r="52" spans="1:17" ht="15.75" customHeight="1" x14ac:dyDescent="0.25">
      <c r="A52" s="77" t="str">
        <f>IF(COUNTIF(A39,"_"),"",IF(OR(COUNTIF(A39,"1.*"),COUNTIF(A39,"2.*"),COUNTIF(A39,"4.*")),"AP 1 Full Benefit on 09/01/2011 to 09/30/2014:",""))</f>
        <v>AP 1 Full Benefit on 09/01/2011 to 09/30/2014:</v>
      </c>
      <c r="D52" s="5">
        <f>IF(OR(COUNTIF(A39,"_"),COUNTIF(A39,"3.*")),"",IF(COUNTIF(A39,"1.*"),I22*O13,IF(OR(COUNTIF(A39,"2.*"),COUNTIF(A39,"4.*")),IF(COUNTIF(K9,"2.*"),"",O15*D48))))</f>
        <v>0</v>
      </c>
      <c r="E52" s="77" t="str">
        <f>IF(COUNTIF(E39,"_"),"",IF(OR(COUNTIF(E39,"1.*"),COUNTIF(E39,"2.*"),COUNTIF(E39,"4.*")),"AP 2 Full Benefit on 09/01/2011 to 09/30/2014:",""))</f>
        <v/>
      </c>
      <c r="H52" s="5" t="str">
        <f>IF(COUNTIF(E39,"_"),"",IF(OR(COUNTIF(E39,"2.*"),COUNTIF(E39,"4.*")),O15*H48,IF(COUNTIF(E39,"1.*"),J22,"")))</f>
        <v/>
      </c>
    </row>
    <row r="53" spans="1:17" x14ac:dyDescent="0.25">
      <c r="A53" s="77" t="str">
        <f>IF(COUNTIF(A39,"_"),"",IF(OR(COUNTIF(A39,"1.*"),COUNTIF(A39,"2.*"),COUNTIF(A39,"4.*")),IF(OR(COUNTIF(K9,"1.*"),COUNTIF(K9,"3.*"),COUNTIF(K9,"4.*"),COUNTIF(K9,"6.*")),"AP 1 Early Retirement Factor:",""),""))</f>
        <v/>
      </c>
      <c r="D53" s="113" t="str">
        <f>IF(OR(COUNTIF(A39,"1.*"),COUNTIF(A39,"2.*"),COUNTIF(A39,"4.*")),IF(OR(COUNTIF(K9,"1.*"),COUNTIF(K9,"3.*"),COUNTIF(K9,"4.*"),COUNTIF(K9,"6.*")),IF(DATEDIF(C3,C5,"m")&lt;=600,(DATEDIF(C3,C5,"m")-540)*0.1%+22%,IF(DATEDIF(C3,C5,"m")&lt;=660,(DATEDIF(C3,C5,"m")-600)*0.2%+28%,IF((DATEDIF(C3,C5,"m")-660)*0.5%+40%&gt;=100%,100%,(DATEDIF(C3,C5,"m")-660)*0.5%+40%))),""),"")</f>
        <v/>
      </c>
      <c r="E53" s="77" t="str">
        <f>IF(COUNTIF(E39,"_"),"",IF(OR(COUNTIF(E39,"1.*"),COUNTIF(E39,"2.*"),COUNTIF(E39,"4.*")),IF(OR(COUNTIF(K9,"1.*"),COUNTIF(K9,"3.*"),COUNTIF(K9,"4.*"),COUNTIF(K9,"6.*")),"AP 2 Early Retirement Factor:",""),""))</f>
        <v/>
      </c>
      <c r="H53" s="113" t="str">
        <f>IF(OR(COUNTIF(E39,"1.*"),COUNTIF(E39,"2.*"),COUNTIF(E39,"4.*")),IF(OR(COUNTIF(K9,"1.*"),COUNTIF(K9,"3.*"),COUNTIF(K9,"4.*"),COUNTIF(K9,"6.*")),IF(DATEDIF(C3,C5,"m")&lt;=600,(DATEDIF(C3,C5,"m")-540)*0.1%+22%,IF(DATEDIF(C3,C5,"m")&lt;=660,(DATEDIF(C3,C5,"m")-600)*0.2%+28%,IF((DATEDIF(C3,C5,"m")-660)*0.5%+40%&gt;=100%,100%,(DATEDIF(C3,C5,"m")-660)*0.5%+40%))),""),"")</f>
        <v/>
      </c>
      <c r="J53" s="2"/>
    </row>
    <row r="54" spans="1:17" x14ac:dyDescent="0.25">
      <c r="A54" s="77" t="str">
        <f>IF(COUNTIF(A39,"_"),"",IF(OR(COUNTIF(A39,"1.*"),COUNTIF(A39,"2.*"),COUNTIF(A39,"4.*")),IF(OR(COUNTIF(K9,"1.*"),COUNTIF(K9,"3.*"),COUNTIF(K9,"4.*"),COUNTIF(K9,"6.*")),"AP 1 Early Benefit from 09/01/2011 to 09/30/2014:",""),""))</f>
        <v/>
      </c>
      <c r="D54" s="5" t="str">
        <f>IF(COUNTIF(A39,"_"),"",IF(OR(COUNTIF(A39,"1.*"),COUNTIF(A39,"2.*"),COUNTIF(A39,"4.*")),IF(OR(COUNTIF(K9,"1.*"),COUNTIF(K9,"3.*"),COUNTIF(K9,"4.*"),COUNTIF(K9,"6.*")),D52*D53,""),""))</f>
        <v/>
      </c>
      <c r="E54" s="77" t="str">
        <f>IF(COUNTIF(E39,"_"),"",IF(OR(COUNTIF(E39,"1.*"),COUNTIF(E39,"2.*"),COUNTIF(E39,"4.*")),IF(OR(COUNTIF(K9,"1.*"),COUNTIF(K9,"3.*"),COUNTIF(K9,"4.*"),COUNTIF(K9,"6.*")),"AP 2 Early Benefit from 09/01/2011 to 09/30/2014:",""),""))</f>
        <v/>
      </c>
      <c r="H54" s="5" t="str">
        <f>IF(COUNTIF(E39,"_"),"",IF(OR(COUNTIF(E39,"1.*"),COUNTIF(E39,"2.*"),COUNTIF(E39,"4.*")),IF(OR(COUNTIF(K9,"1.*"),COUNTIF(K9,"3.*"),COUNTIF(K9,"4.*"),COUNTIF(K9,"6.*")),H52*H53,""),""))</f>
        <v/>
      </c>
    </row>
    <row r="55" spans="1:17" x14ac:dyDescent="0.25">
      <c r="A55" s="77" t="str">
        <f>IF(COUNTIF(A39,"_"),"",IF(OR(COUNTIF(A39,"1.*"),COUNTIF(A39,"2.*"),COUNTIF(A39,"4.*")),"AP 1 Full Benefit After 10/01/2014:",""))</f>
        <v>AP 1 Full Benefit After 10/01/2014:</v>
      </c>
      <c r="D55" s="5">
        <f>IF(OR(COUNTIF(A39,"_"),COUNTIF(A39,"3.*")),"",IF(COUNTIF(A39,"1.*"),I30*O13,IF(OR(COUNTIF(A39,"2.*"),COUNTIF(A39,"4.*")),IF(COUNTIF(K9,"2.*"),"",O16*D48))))</f>
        <v>0</v>
      </c>
      <c r="E55" s="77" t="str">
        <f>IF(COUNTIF(E39,"_"),"",IF(OR(COUNTIF(E39,"1.*"),COUNTIF(E39,"2.*"),COUNTIF(E39,"4.*")),"AP 2 Full Benefit After 10/01/2014:",""))</f>
        <v/>
      </c>
      <c r="H55" s="5" t="str">
        <f>IF(COUNTIF(E39,"_"),"",IF(OR(COUNTIF(E39,"2.*"),COUNTIF(E39,"4.*")),O16*H48,IF(COUNTIF(E39,"1.*"),J30,"")))</f>
        <v/>
      </c>
    </row>
    <row r="56" spans="1:17" x14ac:dyDescent="0.25">
      <c r="A56" s="77" t="str">
        <f>IF(COUNTIF(A39,"_"),"",IF(OR(COUNTIF(A39,"1.*"),COUNTIF(A39,"2.*"),COUNTIF(A39,"4.*")),IF(OR(COUNTIF(K9,"1.*"),COUNTIF(K9,"3.*"),COUNTIF(K9,"4.*"),COUNTIF(K9,"6.*"),COUNTIF(K9,"7.*"),COUNTIF(K9,"8.*")),"AP 1 Early Retirement Factor:",""),""))</f>
        <v/>
      </c>
      <c r="D56" s="113" t="str">
        <f>IF(OR(COUNTIF(A39,"1.*"),COUNTIF(A39,"2.*"),COUNTIF(A39,"4.*")),IF(OR(COUNTIF(K9,"1.*"),COUNTIF(K9,"3.*"),COUNTIF(K9,"4.*"),COUNTIF(K9,"6.*"),COUNTIF(K9,"7.*"),COUNTIF(K9,"8.*")),IF(DATEDIF(C3,C5,"m")&lt;=600,(DATEDIF(C3,C5,"m")-540)*0.1%+22%,IF(DATEDIF(C3,C5,"m")&lt;=660,(DATEDIF(C3,C5,"m")-600)*0.2%+28%,IF((DATEDIF(C3,C5,"m")-660)*0.5%+40%&gt;=100%,100%,(DATEDIF(C3,C5,"m")-660)*0.5%+40%))),""),"")</f>
        <v/>
      </c>
      <c r="E56" s="77" t="str">
        <f>IF(COUNTIF(E39,"_"),"",IF(OR(COUNTIF(E39,"1.*"),COUNTIF(E39,"2.*"),COUNTIF(E39,"4.*")),IF(OR(COUNTIF(K9,"1.*"),COUNTIF(K9,"3.*"),COUNTIF(K9,"4.*"),COUNTIF(K9,"6.*"),COUNTIF(K9,"7.*"),COUNTIF(K9,"8.*")),"AP 2 Early Retirement Factor:",""),""))</f>
        <v/>
      </c>
      <c r="H56" s="113" t="str">
        <f>IF(OR(COUNTIF(E39,"1.*"),COUNTIF(E39,"2.*"),COUNTIF(E39,"4.*")),IF(OR(COUNTIF(K9,"1.*"),COUNTIF(K9,"3.*"),COUNTIF(K9,"4.*"),COUNTIF(K9,"6.*"),COUNTIF(K9,"7.*"),COUNTIF(K9,"8.*")),IF(DATEDIF(C3,C5,"m")&lt;=600,(DATEDIF(C3,C5,"m")-540)*0.1%+22%,IF(DATEDIF(C3,C5,"m")&lt;=660,(DATEDIF(C3,C5,"m")-600)*0.2%+28%,IF((DATEDIF(C3,C5,"m")-660)*0.5%+40%&gt;=100%,100%,(DATEDIF(C3,C5,"m")-660)*0.5%+40%))),""),"")</f>
        <v/>
      </c>
    </row>
    <row r="57" spans="1:17" x14ac:dyDescent="0.25">
      <c r="A57" s="77" t="str">
        <f>IF(COUNTIF(A39,"_"),"",IF(OR(COUNTIF(A39,"1.*"),COUNTIF(A39,"2.*"),COUNTIF(A39,"4.*")),IF(OR(COUNTIF(K9,"1.*"),COUNTIF(K9,"3.*"),COUNTIF(K9,"4.*"),COUNTIF(K9,"6.*"),COUNTIF(K9,"7.*"),COUNTIF(K9,"8.*")),"AP 1 Early Benefit on and after 10/01/2014:",""),""))</f>
        <v/>
      </c>
      <c r="D57" s="5" t="str">
        <f>IF(OR(COUNTIF(A39,"1.*"),COUNTIF(A39,"2.*"),COUNTIF(A39,"4.*")),IF(OR(COUNTIF(K9,"1.*"),COUNTIF(K9,"3.*"),COUNTIF(K9,"4.*"),COUNTIF(K9,"6.*"),COUNTIF(K9,"7.*"),COUNTIF(K9,"8.*")),D55*D56,""),"")</f>
        <v/>
      </c>
      <c r="E57" s="77" t="str">
        <f>IF(COUNTIF(E39,"_"),"",IF(OR(COUNTIF(E39,"1.*"),COUNTIF(E39,"2.*"),COUNTIF(E39,"4.*")),IF(OR(COUNTIF(K9,"1.*"),COUNTIF(K9,"3.*"),COUNTIF(K9,"4.*"),COUNTIF(K9,"6.*"),COUNTIF(K9,"7.*"),COUNTIF(K9,"8.*")),"AP 2 Early Benefit on and after 10/01/2014:",""),""))</f>
        <v/>
      </c>
      <c r="H57" s="5" t="str">
        <f>IF(OR(COUNTIF(E39,"1.*"),COUNTIF(E39,"2.*"),COUNTIF(E39,"4.*")),IF(OR(COUNTIF(K9,"1.*"),COUNTIF(K9,"3.*"),COUNTIF(K9,"4.*"),COUNTIF(K9,"6.*"),COUNTIF(K9,"7.*"),COUNTIF(K9,"8.*")),H55*H56,""),"")</f>
        <v/>
      </c>
    </row>
    <row r="58" spans="1:17" x14ac:dyDescent="0.25">
      <c r="A58" s="77" t="str">
        <f>IF(COUNTIF(A39,"_"),"",IF(OR(COUNTIF(A39,"1.*"),COUNTIF(A39,"2.*"),COUNTIF(A39,"4.*")),"AP 1 Total Monthly Benefit:",""))</f>
        <v>AP 1 Total Monthly Benefit:</v>
      </c>
      <c r="D58" s="5" t="e">
        <f>IF(COUNTIF(A39,"_"),"",IF(OR(COUNTIF(A39,"1.*"),COUNTIF(A39,"2.*"),COUNTIF(A39,"4.*")),IF(OR(COUNTIF(K9,"1.*"),COUNTIF(K9,"6.*")),SUM(D51,D54,D57),IF(OR(COUNTIF(K9,"3.*"),COUNTIF(K9,"4.*"),COUNTIF(K9,"6.*")),SUM(D49,D54,D57),IF(OR(COUNTIF(K9,"7.*"),COUNTIF(K9,"8.*")),SUM(D49,D52,D57),SUM(D49,D52,D55)))),""))</f>
        <v>#VALUE!</v>
      </c>
      <c r="E58" s="77" t="str">
        <f>IF(COUNTIF(E39,"_"),"",IF(OR(COUNTIF(E39,"1.*"),COUNTIF(E39,"2.*"),COUNTIF(E39,"4.*")),"AP 2 Total Monthly Benefit:",""))</f>
        <v/>
      </c>
      <c r="H58" s="5" t="str">
        <f>IF(COUNTIF(E39,"_"),"",IF(OR(COUNTIF(E39,"1.*"),COUNTIF(E39,"2.*"),COUNTIF(E39,"4.*")),IF(OR(COUNTIF(K9,"1.*"),COUNTIF(K9,"6.*")),SUM(H51,H54,H57),IF(OR(COUNTIF(K9,"3.*"),COUNTIF(K9,"4.*"),COUNTIF(K9,"6.*")),SUM(H49,H54,H57),IF(OR(COUNTIF(K9,"7.*"),COUNTIF(K9,"8.*")),SUM(H49,H52,H57),SUM(H49,H52,H55)))),""))</f>
        <v/>
      </c>
    </row>
    <row r="59" spans="1:17" ht="14.25" thickBot="1" x14ac:dyDescent="0.3">
      <c r="A59" s="139" t="str">
        <f>IF(COUNTIF(A39,"_"),"",IF(OR(COUNTIF(A39,"1.*"),COUNTIF(A39,"2.*"),COUNTIF(A39,"4.*")),"AP 1 13th Check:",""))</f>
        <v>AP 1 13th Check:</v>
      </c>
      <c r="B59" s="19"/>
      <c r="C59" s="19"/>
      <c r="D59" s="85" t="e">
        <f>IF(OR(COUNTIF(A39,"_"),COUNTIF(A39,"3.*")),"",IF(OR(COUNTIF(A39,"1.*"),COUNTIF(A39,"2.*"),COUNTIF(A39,"4.*")),IF(OR(COUNTIF(K9,"1.*"),COUNTIF(K9,"6.*")),ROUNDDOWN(D51+D54,2),IF(OR(COUNTIF(K9,"3.*"),COUNTIF(K9,"4.*"),COUNTIF(K9,"6.*")),SUM(D49,D54),IF(OR(COUNTIF(K9,"7.*"),COUNTIF(K9,"8.*")),ROUND(D49+D52,2),ROUND(D49+D52,2))))))</f>
        <v>#VALUE!</v>
      </c>
      <c r="E59" s="139" t="str">
        <f>IF(COUNTIF(E39,"_"),"",IF(OR(COUNTIF(E39,"1.*"),COUNTIF(E39,"2.*"),COUNTIF(E39,"4.*")),"AP 2 13th Check:",""))</f>
        <v/>
      </c>
      <c r="F59" s="19"/>
      <c r="G59" s="19"/>
      <c r="H59" s="85" t="str">
        <f>IF(OR(COUNTIF(E39,"_"),COUNTIF(E39,"3.*")),"",IF(OR(COUNTIF(E39,"1.*"),COUNTIF(E39,"2.*"),COUNTIF(E39,"4.*")),IF(OR(COUNTIF(K9,"1.*"),COUNTIF(K9,"6.*")),SUM(H51,H54),IF(OR(COUNTIF(K9,"3.*"),COUNTIF(K9,"4.*"),COUNTIF(K9,"6.*")),SUM(H49,H54),IF(OR(COUNTIF(K9,"7.*"),COUNTIF(K9,"8.*")),SUM(H49,H52),SUM(H49,H52))))))</f>
        <v/>
      </c>
    </row>
    <row r="60" spans="1:17" hidden="1" x14ac:dyDescent="0.25"/>
    <row r="61" spans="1:17" hidden="1" x14ac:dyDescent="0.25"/>
    <row r="62" spans="1:17" hidden="1" x14ac:dyDescent="0.25"/>
    <row r="63" spans="1:17" hidden="1" x14ac:dyDescent="0.25"/>
    <row r="64" spans="1:17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</sheetData>
  <mergeCells count="17">
    <mergeCell ref="S9:V9"/>
    <mergeCell ref="S17:V17"/>
    <mergeCell ref="G2:H2"/>
    <mergeCell ref="F8:H8"/>
    <mergeCell ref="K9:O9"/>
    <mergeCell ref="K10:O10"/>
    <mergeCell ref="A1:J1"/>
    <mergeCell ref="K1:O1"/>
    <mergeCell ref="E41:H41"/>
    <mergeCell ref="A41:D41"/>
    <mergeCell ref="A9:J9"/>
    <mergeCell ref="A19:J19"/>
    <mergeCell ref="A23:J23"/>
    <mergeCell ref="A39:D39"/>
    <mergeCell ref="E39:H39"/>
    <mergeCell ref="A32:J32"/>
    <mergeCell ref="C6:D6"/>
  </mergeCells>
  <conditionalFormatting sqref="K28:O29">
    <cfRule type="expression" dxfId="1" priority="1" stopIfTrue="1">
      <formula>COUNTIF(K9,"10.*")</formula>
    </cfRule>
  </conditionalFormatting>
  <dataValidations count="2">
    <dataValidation type="list" allowBlank="1" showInputMessage="1" showErrorMessage="1" sqref="A39:A40 E39:E40" xr:uid="{F3E68373-73E1-45E7-BE62-A882314929C3}">
      <formula1>"_,1. % Earned During Marriage,2. Brown Formula,3. AP in Pay Status, 4. QDRO by Months"</formula1>
    </dataValidation>
    <dataValidation type="list" allowBlank="1" showInputMessage="1" showErrorMessage="1" promptTitle="Pension Type" sqref="K9:O9" xr:uid="{3D45B958-0D22-47BE-9583-84FBFB1399A1}">
      <formula1>"1. Early Retirement, 2. Regular at 62, 3. Regular at 62 &amp; Early, 4. Regular at 62 &amp; Disability, 5. Regular at 65, 6. Disability, 7. Service Pre-Age 55 &amp; Early, 8. Service Pre-Age 55 &amp; Disability, 9. Service Pension, 10. Delayed Pension"</formula1>
    </dataValidation>
  </dataValidations>
  <pageMargins left="0.1" right="0.1" top="0.1" bottom="0.1" header="0.3" footer="0.3"/>
  <pageSetup scale="80" fitToWidth="0" fitToHeight="0" orientation="portrait" r:id="rId1"/>
  <colBreaks count="1" manualBreakCount="1">
    <brk id="10" max="1048575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A79F-E698-4461-BF2B-8949C3462D73}">
  <sheetPr>
    <pageSetUpPr fitToPage="1"/>
  </sheetPr>
  <dimension ref="A1:S65"/>
  <sheetViews>
    <sheetView zoomScaleNormal="100" workbookViewId="0">
      <selection activeCell="O25" sqref="O25"/>
    </sheetView>
  </sheetViews>
  <sheetFormatPr defaultColWidth="9.140625" defaultRowHeight="13.5" x14ac:dyDescent="0.25"/>
  <cols>
    <col min="1" max="1" width="9.140625" style="1"/>
    <col min="2" max="2" width="11.28515625" style="1" bestFit="1" customWidth="1"/>
    <col min="3" max="3" width="15" style="1" customWidth="1"/>
    <col min="4" max="4" width="9.7109375" style="1" customWidth="1"/>
    <col min="5" max="5" width="9.42578125" style="1" customWidth="1"/>
    <col min="6" max="6" width="10.85546875" style="1" customWidth="1"/>
    <col min="7" max="7" width="16" style="1" customWidth="1"/>
    <col min="8" max="8" width="11.85546875" style="1" customWidth="1"/>
    <col min="9" max="9" width="9.42578125" style="1" customWidth="1"/>
    <col min="10" max="10" width="11.140625" style="1" customWidth="1"/>
    <col min="11" max="11" width="10.7109375" style="1" customWidth="1"/>
    <col min="12" max="12" width="11.5703125" style="1" bestFit="1" customWidth="1"/>
    <col min="13" max="13" width="17.7109375" style="1" customWidth="1"/>
    <col min="14" max="14" width="12.7109375" style="1" bestFit="1" customWidth="1"/>
    <col min="15" max="15" width="10.85546875" style="1" bestFit="1" customWidth="1"/>
    <col min="16" max="16" width="11.85546875" style="1" customWidth="1"/>
    <col min="17" max="17" width="12.85546875" style="1" customWidth="1"/>
    <col min="18" max="18" width="13.85546875" style="1" customWidth="1"/>
    <col min="19" max="19" width="13.140625" style="1" customWidth="1"/>
    <col min="20" max="20" width="15.85546875" style="1" customWidth="1"/>
    <col min="21" max="21" width="11.85546875" style="1" bestFit="1" customWidth="1"/>
    <col min="22" max="22" width="13.42578125" style="1" bestFit="1" customWidth="1"/>
    <col min="23" max="23" width="12.7109375" style="1" bestFit="1" customWidth="1"/>
    <col min="24" max="16384" width="9.140625" style="1"/>
  </cols>
  <sheetData>
    <row r="1" spans="1:19" ht="14.45" customHeight="1" x14ac:dyDescent="0.25">
      <c r="A1" s="531" t="s">
        <v>100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101"/>
      <c r="Q1" s="101"/>
      <c r="R1" s="101"/>
      <c r="S1" s="101"/>
    </row>
    <row r="2" spans="1:19" x14ac:dyDescent="0.25">
      <c r="A2" s="1" t="s">
        <v>1</v>
      </c>
      <c r="C2" s="118" t="s">
        <v>191</v>
      </c>
      <c r="D2" s="98"/>
      <c r="F2" s="1" t="s">
        <v>0</v>
      </c>
      <c r="G2" s="666" t="s">
        <v>192</v>
      </c>
      <c r="H2" s="666"/>
      <c r="L2" s="78" t="s">
        <v>30</v>
      </c>
      <c r="M2" s="109" t="s">
        <v>102</v>
      </c>
      <c r="N2" s="78"/>
      <c r="O2" s="78"/>
    </row>
    <row r="3" spans="1:19" x14ac:dyDescent="0.25">
      <c r="A3" s="1" t="s">
        <v>6</v>
      </c>
      <c r="C3" s="14">
        <v>21251</v>
      </c>
      <c r="G3" s="119"/>
      <c r="I3" s="119"/>
    </row>
    <row r="4" spans="1:19" x14ac:dyDescent="0.25">
      <c r="A4" s="1" t="s">
        <v>2</v>
      </c>
      <c r="C4" s="20" t="str">
        <f>DATEDIF(C3,C5,"y")&amp;"/"&amp;(DATEDIF(C3,C5, "m") - (DATEDIF(C3,C5, "y") * 12))</f>
        <v>58/7</v>
      </c>
      <c r="F4" s="1" t="str">
        <f>IF(COUNTIF(K9,"10.*"),"Date Member turned 65:","")</f>
        <v>Date Member turned 65:</v>
      </c>
      <c r="G4" s="20"/>
      <c r="H4" s="95">
        <f>IF(COUNTIF(K9, "10.*"),EDATE(C3,65*12),"")</f>
        <v>44992</v>
      </c>
      <c r="I4" s="20"/>
      <c r="L4" s="78" t="s">
        <v>92</v>
      </c>
      <c r="M4" s="108">
        <f ca="1">TODAY()</f>
        <v>46164</v>
      </c>
      <c r="N4" s="178"/>
      <c r="O4" s="178"/>
    </row>
    <row r="5" spans="1:19" x14ac:dyDescent="0.25">
      <c r="A5" s="1" t="s">
        <v>7</v>
      </c>
      <c r="C5" s="14">
        <v>42675</v>
      </c>
      <c r="F5" s="1" t="str">
        <f>IF(DATEDIF(C3,C5,"m")&gt;=846,"Date Member turned 70 1/2:","")</f>
        <v/>
      </c>
      <c r="G5" s="119"/>
      <c r="H5" s="1" t="str">
        <f>IF(DATEDIF(C3,C5,"m")&gt;=846,EDATE(C3,70*12+6),"")</f>
        <v/>
      </c>
      <c r="I5" s="119"/>
    </row>
    <row r="6" spans="1:19" x14ac:dyDescent="0.25">
      <c r="A6" s="1" t="s">
        <v>3</v>
      </c>
      <c r="C6" s="666" t="s">
        <v>190</v>
      </c>
      <c r="D6" s="666"/>
      <c r="G6" s="2"/>
      <c r="I6" s="2"/>
      <c r="J6" s="2"/>
      <c r="K6" s="2"/>
      <c r="L6" s="78" t="s">
        <v>31</v>
      </c>
      <c r="M6" s="78"/>
      <c r="N6" s="78"/>
      <c r="O6" s="78"/>
    </row>
    <row r="7" spans="1:19" x14ac:dyDescent="0.25">
      <c r="A7" s="1" t="s">
        <v>5</v>
      </c>
      <c r="C7" s="14">
        <v>21215</v>
      </c>
    </row>
    <row r="8" spans="1:19" ht="14.65" customHeight="1" thickBot="1" x14ac:dyDescent="0.3">
      <c r="A8" s="19" t="s">
        <v>4</v>
      </c>
      <c r="B8" s="19"/>
      <c r="C8" s="20" t="str">
        <f>IF(COUNTIF(C7,""),"",DATEDIF(C7,C5,"y")&amp;"/"&amp;(DATEDIF(C7,C5,"m")-(DATEDIF(C7,C5,"y")*12)))</f>
        <v>58/9</v>
      </c>
      <c r="F8" s="539" t="str">
        <f>IF(C7=0,"","Spouse Age Difference from Member:")</f>
        <v>Spouse Age Difference from Member:</v>
      </c>
      <c r="G8" s="539"/>
      <c r="H8" s="539"/>
      <c r="I8" s="12">
        <f>IF(C7=0,"",IF(AND(C3-C7&lt;0,(DATEDIF(C3,C5,"m")-(DATEDIF(C3,C5,"y")*12))-(DATEDIF(C7,C5,"m")-(DATEDIF(C7,C5,"y")*12))=0),DATEDIF(C3,C5,"y")-DATEDIF(C7,C5,"y"),IF(AND(C3-C7&gt;0,(DATEDIF(C7,C5,"m")-(DATEDIF(C7,C5,"y")*12))-(DATEDIF(C3,C5,"m")-(DATEDIF(C3,C5,"y")*12))=0),DATEDIF(C7,C5,"y")-DATEDIF(C3,C5,"y"),IF(C3-C7&lt;0,ROUNDDOWN(YEARFRAC(C3,C7),0),IF(C3-C7&gt;0,ROUNDDOWN(YEARFRAC(C7,C3),0),0)))))</f>
        <v>0</v>
      </c>
      <c r="J8" s="1" t="str">
        <f>IF(C7=0,"",IF(I8=0,"No Difference.",IF(C3-C7&lt;0,"Year(s) Younger.", IF(C3-C7&gt;0, "Year(s) Older.","No Difference."))))</f>
        <v>No Difference.</v>
      </c>
      <c r="L8" s="78" t="s">
        <v>92</v>
      </c>
      <c r="M8" s="78"/>
      <c r="N8" s="78"/>
      <c r="O8" s="78"/>
    </row>
    <row r="9" spans="1:19" ht="15.75" customHeight="1" thickBot="1" x14ac:dyDescent="0.3">
      <c r="A9" s="668" t="s">
        <v>8</v>
      </c>
      <c r="B9" s="669"/>
      <c r="C9" s="669"/>
      <c r="D9" s="669"/>
      <c r="E9" s="669"/>
      <c r="F9" s="669"/>
      <c r="G9" s="669"/>
      <c r="H9" s="669"/>
      <c r="I9" s="669"/>
      <c r="J9" s="670"/>
      <c r="K9" s="540" t="s">
        <v>197</v>
      </c>
      <c r="L9" s="541"/>
      <c r="M9" s="541"/>
      <c r="N9" s="541"/>
      <c r="O9" s="542"/>
    </row>
    <row r="10" spans="1:19" ht="30.6" customHeight="1" thickBot="1" x14ac:dyDescent="0.3">
      <c r="A10" s="190" t="s">
        <v>195</v>
      </c>
      <c r="B10" s="124" t="s">
        <v>194</v>
      </c>
      <c r="C10" s="124" t="str">
        <f>IF(COUNTIF(A39,"1.*"),"During AP 1 Marriage","")</f>
        <v/>
      </c>
      <c r="D10" s="124" t="str">
        <f>IF(COUNTIF(A39,"1.*"),"AP 1 Credits","")</f>
        <v/>
      </c>
      <c r="E10" s="124" t="str">
        <f>IF(COUNTIF(E39,"1.*"),"During AP 2 Marriage","")</f>
        <v/>
      </c>
      <c r="F10" s="124" t="str">
        <f>IF(COUNTIF(E39,"1.*"),"AP 2 Credits","")</f>
        <v/>
      </c>
      <c r="G10" s="124" t="s">
        <v>9</v>
      </c>
      <c r="H10" s="124" t="s">
        <v>182</v>
      </c>
      <c r="I10" s="124" t="str">
        <f>IF(COUNTIF(A39,"1.*"),"AP 1 Value","")</f>
        <v/>
      </c>
      <c r="J10" s="125" t="str">
        <f>IF(COUNTIF(E39,"1.*"),"AP 2 Value","")</f>
        <v/>
      </c>
      <c r="K10" s="541" t="s">
        <v>14</v>
      </c>
      <c r="L10" s="541"/>
      <c r="M10" s="541"/>
      <c r="N10" s="541"/>
      <c r="O10" s="541"/>
    </row>
    <row r="11" spans="1:19" x14ac:dyDescent="0.25">
      <c r="A11" s="187"/>
      <c r="B11" s="131"/>
      <c r="C11" s="145"/>
      <c r="D11" s="137" t="str">
        <f>IF(COUNTIF(A39,"1.*"),C11*D45,"")</f>
        <v/>
      </c>
      <c r="E11" s="151"/>
      <c r="F11" s="137" t="str">
        <f>IF(COUNTIF(E39,"1.*"),E11*H45,"")</f>
        <v/>
      </c>
      <c r="G11" s="129"/>
      <c r="H11" s="126">
        <f>IF(AND(COUNTIF(A39,"1.*"),COUNTIF(E39,"1.*")),(B11*G11)-((D11*G11)+(F11*G11)),IF(COUNTIF(A39,"1.*"),(B11*G11)-(D11*G11),IF(COUNTIF(E39,"1.*"),(B11*G11)-(F11*G11),(A11+B11)*G11)))</f>
        <v>0</v>
      </c>
      <c r="I11" s="31" t="str">
        <f>IF(COUNTIF(A39,"1.*"),SUM(D11*G11),"")</f>
        <v/>
      </c>
      <c r="J11" s="126" t="str">
        <f>IF(COUNTIF(E39,"1.*"),SUM(F11*G11),"")</f>
        <v/>
      </c>
      <c r="K11" s="1" t="str">
        <f>IF(OR(A38&gt;0,A31&gt;0),"Total CIFPT Pension Credits:","")</f>
        <v>Total CIFPT Pension Credits:</v>
      </c>
      <c r="L11" s="10"/>
      <c r="M11" s="10"/>
      <c r="N11" s="10"/>
      <c r="O11" s="112">
        <f>IF(OR(A38&gt;0,A31&gt;0),SUM(B11:B17,B20:B21,B24:B29,B33:B36),"")</f>
        <v>11.92</v>
      </c>
    </row>
    <row r="12" spans="1:19" x14ac:dyDescent="0.25">
      <c r="A12" s="187"/>
      <c r="B12" s="131">
        <v>5.75</v>
      </c>
      <c r="C12" s="145"/>
      <c r="D12" s="137" t="str">
        <f>IF(COUNTIF(A39,"1.*"),C12*D45,"")</f>
        <v/>
      </c>
      <c r="E12" s="151"/>
      <c r="F12" s="137" t="str">
        <f>IF(COUNTIF(E39,"1.*"),E12*H45,"")</f>
        <v/>
      </c>
      <c r="G12" s="129">
        <v>45</v>
      </c>
      <c r="H12" s="126">
        <f>IF(AND(COUNTIF(A39,"1.*"),COUNTIF(E39,"1.*")),(B12*G12)-((D12*G12)+(F12*G12)),IF(COUNTIF(A39,"1.*"),(B12*G12)-(D12*G12),IF(COUNTIF(E39,"1.*"),(B12*G12)-(F12*G12),(A12+B12)*G12)))</f>
        <v>258.75</v>
      </c>
      <c r="I12" s="31" t="str">
        <f>IF(COUNTIF(A39,"1.*"),SUM(D12*G12),"")</f>
        <v/>
      </c>
      <c r="J12" s="126" t="str">
        <f>IF(COUNTIF(E39,"1.*"),SUM(F12*G12),"")</f>
        <v/>
      </c>
      <c r="K12" s="1" t="str">
        <f>IF(OR(A38&gt;0,A31&gt;0),"Total Pro-Rata Credits:","")</f>
        <v>Total Pro-Rata Credits:</v>
      </c>
      <c r="L12" s="10"/>
      <c r="M12" s="10"/>
      <c r="N12" s="10"/>
      <c r="O12" s="112">
        <f>IF(OR(A38&gt;0,A31&gt;0),('Pro-Rata Worksheet'!J5),"")</f>
        <v>11.65</v>
      </c>
    </row>
    <row r="13" spans="1:19" x14ac:dyDescent="0.25">
      <c r="A13" s="187"/>
      <c r="B13" s="131">
        <v>6.17</v>
      </c>
      <c r="C13" s="145"/>
      <c r="D13" s="137" t="str">
        <f>IF(COUNTIF(A39,"1.*"),C13*D45,"")</f>
        <v/>
      </c>
      <c r="E13" s="151"/>
      <c r="F13" s="137" t="str">
        <f>IF(COUNTIF(E39,"1.*"),E13*H45,"")</f>
        <v/>
      </c>
      <c r="G13" s="129">
        <v>55</v>
      </c>
      <c r="H13" s="126">
        <f>IF(AND(COUNTIF(A39,"1.*"),COUNTIF(E39,"1.*")),(B13*G13)-((D13*G13)+(F13*G13)),IF(COUNTIF(A39,"1.*"),(B13*G13)-(D13*G13),IF(COUNTIF(E39,"1.*"),(B13*G13)-(F13*G13),(A13+B13)*G13)))</f>
        <v>339.35</v>
      </c>
      <c r="I13" s="31" t="str">
        <f>IF(COUNTIF(A39,"1.*"),SUM(D13*G13),"")</f>
        <v/>
      </c>
      <c r="J13" s="126" t="str">
        <f>IF(COUNTIF(E39,"1.*"),SUM(F13*G13),"")</f>
        <v/>
      </c>
      <c r="K13" s="1" t="str">
        <f>IF(OR(A38&gt;0,A31&gt;0),"Pro-Rata Factor:","")</f>
        <v>Pro-Rata Factor:</v>
      </c>
      <c r="L13" s="10"/>
      <c r="M13" s="10"/>
      <c r="N13" s="10"/>
      <c r="O13" s="102">
        <f>IF(OR(A38&gt;0,A31&gt;0),ROUNDDOWN(O11/O12,4),"")</f>
        <v>1.0230999999999999</v>
      </c>
    </row>
    <row r="14" spans="1:19" x14ac:dyDescent="0.25">
      <c r="A14" s="187"/>
      <c r="B14" s="131"/>
      <c r="C14" s="145"/>
      <c r="D14" s="137" t="str">
        <f>IF(COUNTIF(A39,"1.*"),C14*D45,"")</f>
        <v/>
      </c>
      <c r="E14" s="151"/>
      <c r="F14" s="137" t="str">
        <f>IF(COUNTIF(E39,"1.*"),E14*H45,"")</f>
        <v/>
      </c>
      <c r="G14" s="126">
        <v>50</v>
      </c>
      <c r="H14" s="126">
        <f>IF(AND(COUNTIF(A39,"1.*"),COUNTIF(E39,"1.*")),(B14*G14)-((D14*G14)+(F14*G14)),IF(COUNTIF(A39,"1.*"),(B14*G14)-(D14*G14),IF(COUNTIF(E39,"1.*"),(B14*G14)-(F14*G14),(A14+B14)*G14)))</f>
        <v>0</v>
      </c>
      <c r="I14" s="31" t="str">
        <f>IF(COUNTIF(A39,"1.*"),SUM(D14*G14),"")</f>
        <v/>
      </c>
      <c r="J14" s="126" t="str">
        <f>IF(COUNTIF(E39,"1.*"),SUM(F14*G14),"")</f>
        <v/>
      </c>
      <c r="K14" s="2" t="s">
        <v>184</v>
      </c>
      <c r="L14" s="2"/>
      <c r="M14" s="2"/>
      <c r="N14" s="21">
        <f>SUM(A11:A17,B11:B17)</f>
        <v>23.090000000000003</v>
      </c>
      <c r="O14" s="31">
        <f>IF(OR(A38&gt;0,A31&gt;0),O13*((A11+B11)*G11+(A12+B12)*G12+(A13+B13)*G13+(A14+B14)*G14+(A15+B15)*G15+(A16+B16)*G16+(A17+B17)*G17),SUM((A11+B11)*G11,(A12+B12)*G12,(A13+B13)*G13,(A14+B14)*G14,(A15+B15)*G15,(A16+B16)*G16,(A17+B17)*G17))</f>
        <v>1918.2613449999997</v>
      </c>
    </row>
    <row r="15" spans="1:19" x14ac:dyDescent="0.25">
      <c r="A15" s="187">
        <v>8</v>
      </c>
      <c r="B15" s="131"/>
      <c r="C15" s="145"/>
      <c r="D15" s="137" t="str">
        <f>IF(COUNTIF(A39,"1.*"),C15*D45,"")</f>
        <v/>
      </c>
      <c r="E15" s="151"/>
      <c r="F15" s="137" t="str">
        <f>IF(COUNTIF(E39,"1.*"),E15*H45,"")</f>
        <v/>
      </c>
      <c r="G15" s="126">
        <v>118</v>
      </c>
      <c r="H15" s="126">
        <f>IF(AND(COUNTIF(A39,"1.*"),COUNTIF(E39,"1.*")),((A15+B15)*G15)-((D15*G15)+(F15*G15)),IF(COUNTIF(A39,"1.*"),((A15+B15)*G15)-(D15*G15),IF(COUNTIF(E39,"1.*"),((A15+B15)*G15)-(F15*G15),(A15+B15)*G15)))</f>
        <v>944</v>
      </c>
      <c r="I15" s="31" t="str">
        <f>IF(COUNTIF(A39,"1.*"),SUM(D15*G15),"")</f>
        <v/>
      </c>
      <c r="J15" s="126" t="str">
        <f>IF(COUNTIF(E39,"1.*"),SUM(F15*G15),"")</f>
        <v/>
      </c>
      <c r="K15" s="1" t="str">
        <f>IF(COUNTIF(K9,"2.*"),"","Full Benefit from 09/01/2011 to 09/30/2014:")</f>
        <v>Full Benefit from 09/01/2011 to 09/30/2014:</v>
      </c>
      <c r="N15" s="21">
        <f>IF(COUNTIF(K9,"2.*"),"",SUM(A20:A21,B20:B21))</f>
        <v>2.56</v>
      </c>
      <c r="O15" s="31">
        <f>IF(COUNTIF(K9,"2.*"),"",IF(OR(A38&gt;0,A31&gt;0),O13*((A20+B20)*G20+(A21+B21)*G21),((A20+B20)*G20+(A21+B21)*G21)))</f>
        <v>235.72223999999997</v>
      </c>
    </row>
    <row r="16" spans="1:19" x14ac:dyDescent="0.25">
      <c r="A16" s="187">
        <v>3.17</v>
      </c>
      <c r="B16" s="131"/>
      <c r="C16" s="145"/>
      <c r="D16" s="137" t="str">
        <f>IF(COUNTIF(A39,"1.*"),C16*D45,"")</f>
        <v/>
      </c>
      <c r="E16" s="151"/>
      <c r="F16" s="137" t="str">
        <f>IF(COUNTIF(E39,"1.*"),E16*H45,"")</f>
        <v/>
      </c>
      <c r="G16" s="126">
        <v>105</v>
      </c>
      <c r="H16" s="126">
        <f>IF(AND(COUNTIF(A39,"1.*"),COUNTIF(E39,"1.*")),(B16*G16)-((D16*G16)+(F16*G16)),IF(COUNTIF(A39,"1.*"),(B16*G16)-(D16*G16),IF(COUNTIF(E41,"1.*"),(B16*G16)-(F16*G16),(A16+B16)*G16)))</f>
        <v>332.84999999999997</v>
      </c>
      <c r="I16" s="31" t="str">
        <f>IF(COUNTIF(A39,"1.*"),SUM(D16*G16),"")</f>
        <v/>
      </c>
      <c r="J16" s="126" t="str">
        <f>IF(COUNTIF(E39,"1.*"),SUM(F16*G16),"")</f>
        <v/>
      </c>
      <c r="K16" s="2" t="str">
        <f>IF(COUNTIF(K9,"2.*"),"","Full Benefit on and After 10/01/2014:")</f>
        <v>Full Benefit on and After 10/01/2014:</v>
      </c>
      <c r="L16" s="2"/>
      <c r="M16" s="2"/>
      <c r="N16" s="21">
        <f>IF(COUNTIF(K9,"2.*"),"",SUM(A24:A29,B24:B29,A33:A36,B33:B36))</f>
        <v>1.67</v>
      </c>
      <c r="O16" s="31">
        <f>IF(COUNTIF(K9,"2.*"),"",IF(OR(A38&gt;0,A31&gt;0),O13*((A24+B24)*G24+(A25+B25)*G25+(A26+B26)*G26+(A27+B27)*G27+(A28+B28)*G28+(A29+B29)*G29+(A33+B33)*G33+(A34+B34)*G34+(A35+B35)*G35+(A36+B36)*G36),((A24+B24)*G24+(A25+B25)*G25+(A26+B26)*G26+(A27+B27)*G27+(A28+B28)*G28+(A29+B29)*G29+(A33+B33)*G33+(A34+B34)*G34+(A35+B35)*G35+(A36+B36)*G36)))</f>
        <v>119.60038999999998</v>
      </c>
    </row>
    <row r="17" spans="1:18" ht="14.25" thickBot="1" x14ac:dyDescent="0.3">
      <c r="A17" s="187"/>
      <c r="B17" s="132"/>
      <c r="C17" s="146"/>
      <c r="D17" s="138" t="str">
        <f>IF(COUNTIF(A39,"1.*"),C17*D45,"")</f>
        <v/>
      </c>
      <c r="E17" s="152"/>
      <c r="F17" s="137" t="str">
        <f>IF(COUNTIF(E39,"1.*"),E17*H45,"")</f>
        <v/>
      </c>
      <c r="G17" s="127">
        <v>125</v>
      </c>
      <c r="H17" s="126">
        <f>IF(AND(COUNTIF(A42,"1.*"),COUNTIF(E42,"1.*")),(B17*G17)-((D17*G17)+(F17*G17)),IF(COUNTIF(A42,"1.*"),(B17*G17)-(D17*G17),IF(COUNTIF(E42,"1.*"),(B17*G17)-(F17*G17),(A17+B17)*G17)))</f>
        <v>0</v>
      </c>
      <c r="I17" s="31" t="str">
        <f>IF(COUNTIF(A39,"1.*"),SUM(D17*G17),"")</f>
        <v/>
      </c>
      <c r="J17" s="127" t="str">
        <f>IF(COUNTIF(E39,"1.*"),SUM(F17*G17),"")</f>
        <v/>
      </c>
      <c r="K17" s="1" t="s">
        <v>183</v>
      </c>
      <c r="N17" s="21">
        <f>SUM(A11:A17,B11:B17,A20:A21,B20:B21,A24:A29,B24:B29,A33:A36,B33:B36)</f>
        <v>27.32</v>
      </c>
      <c r="O17" s="31">
        <f>SUM(O14:O16)</f>
        <v>2273.5839749999996</v>
      </c>
    </row>
    <row r="18" spans="1:18" ht="14.25" thickBot="1" x14ac:dyDescent="0.3">
      <c r="A18" s="120">
        <f>SUM(A11:A17)</f>
        <v>11.17</v>
      </c>
      <c r="B18" s="120">
        <f>SUM(B11:B17)</f>
        <v>11.92</v>
      </c>
      <c r="C18" s="120" t="str">
        <f>IF(COUNTIF(A39,"1.*"),SUM(C11:C17),"")</f>
        <v/>
      </c>
      <c r="D18" s="120" t="str">
        <f>IF(COUNTIF(A39,"1.*"),SUM(D11:D17),"")</f>
        <v/>
      </c>
      <c r="E18" s="120" t="str">
        <f>IF(COUNTIF(E39,"1.*"),SUM(E11:E17),"")</f>
        <v/>
      </c>
      <c r="F18" s="120" t="str">
        <f>IF(COUNTIF(E39,"1.*"),SUM(F11:F17),"")</f>
        <v/>
      </c>
      <c r="G18" s="182" t="s">
        <v>11</v>
      </c>
      <c r="H18" s="88">
        <f>SUM(H11:H17)</f>
        <v>1874.9499999999998</v>
      </c>
      <c r="I18" s="88" t="str">
        <f>IF(COUNTIF(A39,"1.*"),SUM(I11:I17),"")</f>
        <v/>
      </c>
      <c r="J18" s="133" t="str">
        <f>IF(COUNTIF(E39,"1.*"),SUM(J11:J17),"")</f>
        <v/>
      </c>
      <c r="K18" s="1" t="s">
        <v>196</v>
      </c>
      <c r="L18" s="2"/>
      <c r="O18" s="31">
        <f>SUM(O14,O15)</f>
        <v>2153.9835849999995</v>
      </c>
    </row>
    <row r="19" spans="1:18" ht="15.75" customHeight="1" thickBot="1" x14ac:dyDescent="0.3">
      <c r="A19" s="572" t="s">
        <v>12</v>
      </c>
      <c r="B19" s="573"/>
      <c r="C19" s="573"/>
      <c r="D19" s="573"/>
      <c r="E19" s="573"/>
      <c r="F19" s="573"/>
      <c r="G19" s="573"/>
      <c r="H19" s="573"/>
      <c r="I19" s="573"/>
      <c r="J19" s="574"/>
      <c r="K19" s="1" t="str">
        <f>IF(COUNTIF(A39,"_"),"","Alternate Payee 1 Award:")</f>
        <v>Alternate Payee 1 Award:</v>
      </c>
      <c r="O19" s="31">
        <f>IF(COUNTIF(A39,"_"),"",IF(COUNTIF(A39,"1.*"),ROUND(I18+I22+I30,2),IF(COUNTIF(A39,"3.*"),D46,IF(OR(COUNTIF(A39,"2.*"),COUNTIF(A39,"4.*")),IF(COUNTIF(K9,"2.*"),D49,ROUND((D49+D52+D55),2))))))</f>
        <v>372.87</v>
      </c>
    </row>
    <row r="20" spans="1:18" x14ac:dyDescent="0.25">
      <c r="A20" s="187">
        <v>2.56</v>
      </c>
      <c r="B20" s="131"/>
      <c r="C20" s="145"/>
      <c r="D20" s="137" t="str">
        <f>IF(COUNTIF(A39,"1.*"),C20*D45,"")</f>
        <v/>
      </c>
      <c r="E20" s="151"/>
      <c r="F20" s="137" t="str">
        <f>IF(COUNTIF(E39,"1.*"),E20*H45,"")</f>
        <v/>
      </c>
      <c r="G20" s="126">
        <v>90</v>
      </c>
      <c r="H20" s="126">
        <f>IF(AND(COUNTIF(A39,"1.*"),COUNTIF(E39,"1.*")),((A20+B20)*G20)-((D20*G20)+(F20*G20)),IF(COUNTIF(A39,"1.*"),((A20+B20)*G20)-(D20*G20),IF(COUNTIF(E39,"1.*"),((A20+B20)*G20)-(F20*G20),((A20+B20)*G20))))</f>
        <v>230.4</v>
      </c>
      <c r="I20" s="31" t="str">
        <f>IF(COUNTIF(A39,"1.*"),SUM(D20*G20),"")</f>
        <v/>
      </c>
      <c r="J20" s="126" t="str">
        <f>IF(COUNTIF(E39,"1.*"),SUM(F20*G20),"")</f>
        <v/>
      </c>
      <c r="K20" s="1" t="str">
        <f>IF(COUNTIF(A39,"_"),"","Alternate Payee 1 13th Check:")</f>
        <v>Alternate Payee 1 13th Check:</v>
      </c>
      <c r="O20" s="31">
        <f>IF(COUNTIF(A39,"_"),"",IF(COUNTIF(A39,"1.*"),ROUNDDOWN(I18+I22,2),IF(COUNTIF(A39,"3.*"),D47,IF(OR(COUNTIF(A39,"2.*"),COUNTIF(A39,"4.*")),IF(COUNTIF(K9,"2.*"),D49,ROUNDDOWN((D49+D52),2))))))</f>
        <v>353.25</v>
      </c>
    </row>
    <row r="21" spans="1:18" ht="14.25" thickBot="1" x14ac:dyDescent="0.3">
      <c r="A21" s="187"/>
      <c r="B21" s="132"/>
      <c r="C21" s="146"/>
      <c r="D21" s="138" t="str">
        <f>IF(COUNTIF(A39,"1.*"),C21*D45,"")</f>
        <v/>
      </c>
      <c r="E21" s="152"/>
      <c r="F21" s="137" t="str">
        <f>IF(COUNTIF(E39,"1.*"),E21*H45,"")</f>
        <v/>
      </c>
      <c r="G21" s="127">
        <v>125</v>
      </c>
      <c r="H21" s="126">
        <f>IF(AND(COUNTIF(A39,"1.*"),COUNTIF(E39,"1.*")),SUM(B21*G21)-((D21*G21)+(F21*G21)),IF(COUNTIF(A39,"1.*"),SUM(B21*G21)-(D21*G21),IF(COUNTIF(E39,"1.*"),SUM(B21*G21)-(F21*G21),B21*G21)))</f>
        <v>0</v>
      </c>
      <c r="I21" s="31" t="str">
        <f>IF(COUNTIF(A39,"1.*"),SUM(D21*G21),"")</f>
        <v/>
      </c>
      <c r="J21" s="126" t="str">
        <f>IF(COUNTIF(E39,"1.*"),SUM(F21*G21),"")</f>
        <v/>
      </c>
      <c r="K21" s="1" t="str">
        <f>IF(COUNTIF(E39,"_"),"","Alternate Payee 2 Award:")</f>
        <v/>
      </c>
      <c r="O21" s="31" t="str">
        <f>IF(COUNTIF(E39,"_"),"",IF(COUNTIF(E39,"1.*"),ROUND(J18+J22+J30,2),IF(COUNTIF(E39,"3.*"),H46,IF(OR(COUNTIF(E39,"2.*"),COUNTIF(E39,"4.*")),IF(COUNTIF(K9,"2.*"),H49,ROUND((H49+H52+H55),2))))))</f>
        <v/>
      </c>
    </row>
    <row r="22" spans="1:18" ht="14.25" thickBot="1" x14ac:dyDescent="0.3">
      <c r="A22" s="120">
        <f>SUM(A20:A21)</f>
        <v>2.56</v>
      </c>
      <c r="B22" s="120">
        <f>SUM(B20:B21)</f>
        <v>0</v>
      </c>
      <c r="C22" s="120" t="str">
        <f>IF(COUNTIF(A39,"1.*"),SUM(C20:C21),"")</f>
        <v/>
      </c>
      <c r="D22" s="136" t="str">
        <f>IF(COUNTIF(A39,"1.*"),SUM(D20:D21),"")</f>
        <v/>
      </c>
      <c r="E22" s="120" t="str">
        <f>IF(COUNTIF(E39,"1.*"),SUM(E20:E21),"")</f>
        <v/>
      </c>
      <c r="F22" s="120" t="str">
        <f>IF(COUNTIF(E39,"1.*"),SUM(F20:F21),"")</f>
        <v/>
      </c>
      <c r="G22" s="182" t="s">
        <v>11</v>
      </c>
      <c r="H22" s="88">
        <f>SUM(H20:H21)</f>
        <v>230.4</v>
      </c>
      <c r="I22" s="88" t="str">
        <f>IF(COUNTIF(A39,"1.*"),SUM(I20:I21),"")</f>
        <v/>
      </c>
      <c r="J22" s="88" t="str">
        <f>IF(COUNTIF(E39,"1.*"),SUM(J20:J21),"")</f>
        <v/>
      </c>
      <c r="K22" s="1" t="str">
        <f>IF(COUNTIF(E39,"_"),"","Alternate Payee 2 13th Check:")</f>
        <v/>
      </c>
      <c r="O22" s="31" t="str">
        <f>IF(COUNTIF(E39,"_"),"",IF(COUNTIF(E39,"1.*"),ROUND(J18+J22,2),IF(COUNTIF(E39,"3.*"),H47,IF(OR(COUNTIF(E39,"2.*"),COUNTIF(E39,"4.*")),ROUND((H49+H52),2)))))</f>
        <v/>
      </c>
    </row>
    <row r="23" spans="1:18" ht="15" customHeight="1" thickBot="1" x14ac:dyDescent="0.3">
      <c r="A23" s="572" t="s">
        <v>13</v>
      </c>
      <c r="B23" s="573"/>
      <c r="C23" s="573"/>
      <c r="D23" s="573"/>
      <c r="E23" s="573"/>
      <c r="F23" s="573"/>
      <c r="G23" s="573"/>
      <c r="H23" s="573"/>
      <c r="I23" s="573"/>
      <c r="J23" s="574"/>
      <c r="L23" s="2"/>
      <c r="O23" s="12"/>
    </row>
    <row r="24" spans="1:18" x14ac:dyDescent="0.25">
      <c r="A24" s="187"/>
      <c r="B24" s="131"/>
      <c r="C24" s="145"/>
      <c r="D24" s="137" t="str">
        <f>IF(COUNTIF(A39,"1.*"),C24*D45,"")</f>
        <v/>
      </c>
      <c r="E24" s="153"/>
      <c r="F24" s="137" t="str">
        <f>IF(COUNTIF(E39,"1.*"),E24*H45,"")</f>
        <v/>
      </c>
      <c r="G24" s="126">
        <v>105</v>
      </c>
      <c r="H24" s="126">
        <f>IF(AND(COUNTIF(A39,"1.*"),COUNTIF(E39,"1.*")),((A24+B24)*G24)-((D24*G24))+(F24*G24),IF(COUNTIF(A39,"1.*"),((A24+B24)*G24)-(D24*G24),IF(COUNTIF(E39,"1.*"),((A24+B24)*G24)-(F24*G24),((A24+B24)*G24))))</f>
        <v>0</v>
      </c>
      <c r="I24" s="31" t="str">
        <f>IF(COUNTIF(A39,"1.*"),SUM(D24*G24),"")</f>
        <v/>
      </c>
      <c r="J24" s="126" t="str">
        <f>IF(COUNTIF(E39,"1.*"),SUM(E24*G24),"")</f>
        <v/>
      </c>
      <c r="K24" s="2" t="s">
        <v>187</v>
      </c>
      <c r="L24" s="2"/>
      <c r="M24" s="2"/>
      <c r="N24" s="21">
        <f>SUM(A11:A17,B11:B17)</f>
        <v>23.090000000000003</v>
      </c>
      <c r="O24" s="31">
        <f>IF(AND(COUNTIF(A39,"1.*"),COUNTIF(E39,"1.*")),O14-(I18+J18),IF(AND(COUNTIF(A39,"1.*"),COUNTIF(E39,"2.*")),O14-(I18+(O14*H48)),IF(AND(COUNTIF(A39,"1.*"),COUNTIF(E39,"3.*")),O14-I18,IF(AND(COUNTIF(A39,"1.*"),COUNTIF(E39,"4.*")),O14-(I18+(O14*H48)),IF(AND(COUNTIF(A39,"2.*"),COUNTIF(E39,"1.*")),O14-((O14*D48)+J18),IF(AND(COUNTIF(A39,"2.*"),COUNTIF(E39,"2.*")),O14-((O14*D48)+(O14*H48)),IF(AND(COUNTIF(A39,"2.*"),COUNTIF(E39,"3.*")),O14-(O14*D48),IF(AND(COUNTIF(A39,"2.*"),COUNTIF(E39,"4.*")),O14-((O14*D48)+(O14*H48)),IF(AND(COUNTIF(A39,"3.*"),COUNTIF(E39,"1.*")),O14-J18,IF(AND(COUNTIF(A39,"3.*"),COUNTIF(E39,"2.*")),O14-(O14*H48),IF(AND(COUNTIF(A39,"3.*"),COUNTIF(E39,"3.*")),O14,IF(AND(COUNTIF(A39,"3.*"),COUNTIF(E39,"4.*")),O14-(O14*H48),IF(AND(COUNTIF(A39,"4.*"),COUNTIF(E39,"1.*")),O14-((O14*D48)+J18),IF(AND(COUNTIF(A39,"4.*"),COUNTIF(E39,"2.*")),O14-((O14*D48)+(O14*H48)),IF(AND(COUNTIF(A39,"4.*"),COUNTIF(E39,"3.*")),O14-(O14*D48),IF(AND(COUNTIF(A39,"4.*"),COUNTIF(E39,"4.*")),O14-((O14*D48)+(O14*H48)),IF(COUNTIF(A39,"1.*"),O14-I18,IF(OR(COUNTIF(A39,"2.*"),COUNTIF(A39,"4.*")),O14-(O14*D48),IF(COUNTIF(E39,"1.*"),O14-J18,IF(OR(COUNTIF(E39,"2.*"),COUNTIF(E39,"4.*")),O14-(O14*H48),SUM(B11*G11,B12*G12,B13*G13,B14*G14,B15*G15,B16*G16,B17*G17)))))))))))))))))))))</f>
        <v>1603.6664844199997</v>
      </c>
      <c r="P24" s="3" t="e">
        <f>"$"&amp;ROUND(O24+O27+O30,2)</f>
        <v>#VALUE!</v>
      </c>
      <c r="Q24" s="3">
        <f>O24</f>
        <v>1603.6664844199997</v>
      </c>
      <c r="R24" s="3">
        <f>SUM(O24:O30)</f>
        <v>3504.3788948799993</v>
      </c>
    </row>
    <row r="25" spans="1:18" x14ac:dyDescent="0.25">
      <c r="A25" s="187"/>
      <c r="B25" s="131"/>
      <c r="C25" s="145"/>
      <c r="D25" s="137" t="str">
        <f>IF(COUNTIF(A39,"1.*"),C25*D45,"")</f>
        <v/>
      </c>
      <c r="E25" s="153"/>
      <c r="F25" s="137" t="str">
        <f>IF(COUNTIF(E39,"1.*"),E25*H45,"")</f>
        <v/>
      </c>
      <c r="G25" s="126">
        <v>125</v>
      </c>
      <c r="H25" s="126">
        <f>IF(AND(COUNTIF(A39,"1.*"),COUNTIF(E39,"1.*")),SUM(B25*G25)-((D25*G25)+(F25*G25)),IF(COUNTIF(A39,"1.*"),SUM(B25*G25)-(D25*G25),IF(COUNTIF(E39,"1.*"),SUM(B25*G25)-(F25*G25),B25*G25)))</f>
        <v>0</v>
      </c>
      <c r="I25" s="31" t="str">
        <f>IF(COUNTIF(A39,"1.*"),SUM(D25*G25),"")</f>
        <v/>
      </c>
      <c r="J25" s="126" t="str">
        <f>IF(COUNTIF(E39,"1.*"),SUM(E25*G25),"")</f>
        <v/>
      </c>
      <c r="K25" s="1" t="str">
        <f>IF(COUNTIF(K9,"1.*"),"ER Factor",IF(COUNTIF(K9,"10.*"),"Member Benefit from 09/01/2011 to 09/30/2014:",""))</f>
        <v>Member Benefit from 09/01/2011 to 09/30/2014:</v>
      </c>
      <c r="N25" s="1">
        <f>IF(COUNTIF(K9,"10.*"),SUM(A20:A21,B20:B21),"")</f>
        <v>2.56</v>
      </c>
      <c r="O25" s="191" t="str">
        <f>IF(OR(COUNTIF(K9,"2.*"),COUNTIF(K9,"5.*"),COUNTIF(K9,"9.*")),"",IF(COUNTIF(K9,"1.*"),IF(DATEDIF(C3,C5,"m")&lt;=600,((DATEDIF(C3,C5,"m")-540)*0.1%+40%)*100&amp;"0%",IF(DATEDIF(C3,C5,"m")&lt;=660,((DATEDIF(C3,C5,"m")-600)*0.2%+46%)*100&amp;"0%",IF((DATEDIF(C3,C5,"m")-660)*0.5%+58%&gt;=100%,100%*100&amp;"%",((DATEDIF(C3,C5,"m")-660)*0.5%+58%)*100&amp;"0%"))),IF(OR(COUNTIF(K9,"2.*"),COUNTIF(K9,"3.*")),"",IF(OR(COUNTIF(K9,"3.*"),COUNTIF(K9,"4.*"),COUNTIF(K9,"5.*"),COUNTIF(K9,"6.*"),COUNTIF(K9,"7.*"),COUNTIF(K9,"8.*"),COUNTIF(K9,"9.*"),COUNTIF(K9,"10.*")),IF(AND(COUNTIF(A39,"1.*"),COUNTIF(E39,"1.*")),"$"&amp;ROUND(O15-(I22+J22),2),IF(AND(COUNTIF(A39,"1.*"),COUNTIF(E39,"2.*")),"$"&amp;ROUND(O15-(I22+(O15*H48)),2),IF(AND(COUNTIF(A39,"1.*"),COUNTIF(E39,"3.*")),"$"&amp;ROUND(O15-I22,2),IF(AND(COUNTIF(A39,"1.*"),COUNTIF(E39,"4.*")),"$"&amp;ROUND(O15-(I22+(O15*H48)),2),IF(AND(COUNTIF(A39,"2.*"),COUNTIF(E39,"1.*")),"$"&amp;ROUND(O15-((O15*D48)+J22),2),IF(AND(COUNTIF(A39,"2.*"),COUNTIF(E39,"2.*")),"$"&amp;ROUND(O15-((O15*D48)+(O15*H48)),2),IF(AND(COUNTIF(A39,"2.*"),COUNTIF(E39,"3.*")),"$"&amp;ROUND(O15-(O15*D48),2),IF(AND(COUNTIF(A39,"2.*"),COUNTIF(E39,"4.*")),"$"&amp;ROUND(O15-((O15*D48)+(O15*H48)),2),IF(AND(COUNTIF(A39,"3.*"),COUNTIF(E39,"1.*")),"$"&amp;ROUND(O15-J22,2),IF(AND(COUNTIF(A39,"3.*"),COUNTIF(E39,"2.*")),"$"&amp;ROUND(O15-(O15*H48),2),IF(AND(COUNTIF(A39,"3.*"),COUNTIF(E39,"3.*")),"$"&amp;O15,IF(AND(COUNTIF(A39,"3.*"),COUNTIF(E39,"4.*")),"$"&amp;ROUND(O15-(O15*H48),2),IF(AND(COUNTIF(A39,"4.*"),COUNTIF(E39,"1.*")),"$"&amp;ROUND(O15-((O15*D48)+J22),2),IF(AND(COUNTIF(A39,"4.*"),COUNTIF(E39,"2.*")),"$"&amp;ROUND(O15-((O15*D48)+(O15*H48)),2),IF(AND(COUNTIF(A39,"4.*"),COUNTIF(E39,"3.*")),"$"&amp;ROUND(O15-(O15*D48),2),IF(AND(COUNTIF(A39,"4.*"),COUNTIF(E39,"4.*")),"$"&amp;ROUND(O15-((O15*D48)+(O15*H48)),2),IF(COUNTIF(A39,"1.*"),"$"&amp;ROUND(O15-I22,2),IF(OR(COUNTIF(A39,"2.*"),COUNTIF(A39,"4.*")),"$"&amp;ROUND(O15-(O15*D48),2),IF(COUNTIF(E39,"1.*"),"$"&amp;ROUND(O15-J22,2),IF(OR(COUNTIF(E39,"2.*"),COUNTIF(E39,"4.*")),"$"&amp;ROUND(O15-(O15*H48),2),SUM(B20*G20,B21*G21)))))))))))))))))))))))))</f>
        <v>$197.06</v>
      </c>
    </row>
    <row r="26" spans="1:18" x14ac:dyDescent="0.25">
      <c r="A26" s="187"/>
      <c r="B26" s="131"/>
      <c r="C26" s="145"/>
      <c r="D26" s="137" t="str">
        <f>IF(COUNTIF(A39,"1.*"),C26*D45,"")</f>
        <v/>
      </c>
      <c r="E26" s="153"/>
      <c r="F26" s="137" t="str">
        <f>IF(COUNTIF(E39,"1.*"),E26*H45,"")</f>
        <v/>
      </c>
      <c r="G26" s="126">
        <v>135</v>
      </c>
      <c r="H26" s="126">
        <f>IF(AND(COUNTIF(A39,"1.*"),COUNTIF(E39,"1.*")),SUM(B26*G26)-((D26*G26)+(F26*G26)),IF(COUNTIF(A39,"1.*"),SUM(B26*G26)-(D26*G26),IF(COUNTIF(E39,"1.*"),SUM(B26*G26)-(F26*G26),B26*G26)))</f>
        <v>0</v>
      </c>
      <c r="I26" s="31" t="str">
        <f>IF(COUNTIF(A39,"1.*"),SUM(D26*G26),"")</f>
        <v/>
      </c>
      <c r="J26" s="126" t="str">
        <f>IF(COUNTIF(E39,"1.*"),SUM(E26*G26),"")</f>
        <v/>
      </c>
      <c r="K26" s="1" t="str">
        <f>IF(COUNTIF(K9,"1.*"),"ER Benefit Prior to 09/01/2011",IF(COUNTIF(K9,"10.*"),"Member Benefit on and After 10/01/2014:",""))</f>
        <v>Member Benefit on and After 10/01/2014:</v>
      </c>
      <c r="N26" s="1">
        <f>IF(COUNTIF(K9,"10.*"),SUM(A24:A29,B24:B29,A33:A36,B33:B36),"")</f>
        <v>1.67</v>
      </c>
      <c r="O26" s="31">
        <f>IF(COUNTIF(K9,"1.*"),(O24*O25),IF(OR(COUNTIF(K9,"2.*"),COUNTIF(K9,"5.*"),COUNTIF(K9,"9.*")),"",IF(AND(COUNTIF(A39,"1.*"),COUNTIF(E39,"1.*")),O16-(I30+J30),IF(AND(COUNTIF(A39,"1.*"),COUNTIF(E39,"2.*")),O16-(I30+(O16*H48)),IF(AND(COUNTIF(A39,"1.*"),COUNTIF(E39,"3.*")),O16-I30,IF(AND(COUNTIF(A39,"1.*"),COUNTIF(E39,"4.*")),O16-(I30+(O16*H48)),IF(AND(COUNTIF(A39,"2.*"),COUNTIF(E39,"1.*")),O16-((O16*D48)+J30),IF(AND(COUNTIF(A39,"2.*"),COUNTIF(E39,"2.*")),O16-((O16*D48)+(O16*H48)),IF(AND(COUNTIF(A39,"2.*"),COUNTIF(E39,"3.*")),O16-(O16*D48),IF(AND(COUNTIF(A39,"2.*"),COUNTIF(E39,"4.*")),O16-((O16*D48)+(O16*H48)),IF(AND(COUNTIF(A39,"3.*"),COUNTIF(E39,"1.*")),O16-J30,IF(AND(COUNTIF(A39,"3.*"),COUNTIF(E39,"2.*")),O16-(O16*H48),IF(AND(COUNTIF(A39,"3.*"),COUNTIF(E39,"3.*")),O16,IF(AND(COUNTIF(A39,"3.*"),COUNTIF(E39,"4.*")),O16-(O16*H48),IF(AND(COUNTIF(A39,"4.*"),COUNTIF(E39,"1.*")),O16-((O16*D48)+J18),IF(AND(COUNTIF(A39,"4.*"),COUNTIF(E39,"2.*")),O16-((O16*D48)+(O16*H48)),IF(AND(COUNTIF(A39,"4.*"),COUNTIF(E39,"3.*")),O16-(O16*D48),IF(AND(COUNTIF(A39,"4.*"),COUNTIF(E39,"4.*")),O16-((O16*D48)+(O16*H48)),IF(COUNTIF(A39,"1.*"),O16-I30,IF(OR(COUNTIF(A39,"2.*"),COUNTIF(A39,"4.*")),O16-(O16*D48),IF(COUNTIF(E39,"1.*"),O16-J30,IF(OR(COUNTIF(E39,"2.*"),COUNTIF(E39,"4.*")),O16-(O16*H48),SUM(B24*G24,B25*G25,B26*G26,B27*G27,B28*G28,B28*G28,B29*G29)))))))))))))))))))))))</f>
        <v>99.985926039999981</v>
      </c>
    </row>
    <row r="27" spans="1:18" x14ac:dyDescent="0.25">
      <c r="A27" s="187">
        <v>1.67</v>
      </c>
      <c r="B27" s="131"/>
      <c r="C27" s="145"/>
      <c r="D27" s="137" t="str">
        <f>IF(COUNTIF(A39,"1.*"),C27*D45,"")</f>
        <v/>
      </c>
      <c r="E27" s="153"/>
      <c r="F27" s="137" t="str">
        <f>IF(COUNTIF(E39,"1.*"),E27*H45,"")</f>
        <v/>
      </c>
      <c r="G27" s="129">
        <v>70</v>
      </c>
      <c r="H27" s="126">
        <f>IF(AND(COUNTIF(A39,"1.*"),COUNTIF(E39,"1.*")),((A27+B27)*G27)-((D27*G27)+(F27*G27)),IF(COUNTIF(A39,"1.*"),((A27+B27)*G27)-(D27*G27),IF(COUNTIF(E39,"1.*"),((A27+B27)*G27)-(F27*G27),((A27+B27)*G27))))</f>
        <v>116.89999999999999</v>
      </c>
      <c r="I27" s="31" t="str">
        <f>IF(COUNTIF(A39,"1.*"),SUM(D27*G27),"")</f>
        <v/>
      </c>
      <c r="J27" s="126" t="str">
        <f>IF(COUNTIF(E39,"1.*"),SUM(E27*G27),"")</f>
        <v/>
      </c>
      <c r="K27" s="1" t="str">
        <f>IF(OR(COUNTIF(K9,"2.*"),COUNTIF(K9,"10.*")),"","Member Benefit from 09/01/2011 to 09/30/2014:")</f>
        <v/>
      </c>
      <c r="N27" s="1" t="str">
        <f>IF(OR(COUNTIF(K9,"2.*"),COUNTIF(K9,"10.*")),"",SUM(A20:A21,B20:B21))</f>
        <v/>
      </c>
      <c r="O27" s="31" t="str">
        <f>IF(OR(COUNTIF(K9,"2.*"),COUNTIF(K9,"10*")),"",IF(AND(COUNTIF(A39,"1.*"),COUNTIF(E39,"1.*")),O15-(I22+J22),IF(AND(COUNTIF(A39,"1.*"),COUNTIF(E39,"2.*")),O15-(I22+(O15*H48)),IF(AND(COUNTIF(A39,"1.*"),COUNTIF(E39,"3.*")),O15-I22,IF(AND(COUNTIF(A39,"1.*"),COUNTIF(E39,"4.*")),O15-(I22+(O15*H48)),IF(AND(COUNTIF(A39,"2.*"),COUNTIF(E39,"1.*")),O15-((O15*D48)+J22),IF(AND(COUNTIF(A39,"2.*"),COUNTIF(E39,"2.*")),O15-((O15*D48)+(O15*H48)),IF(AND(COUNTIF(A39,"2.*"),COUNTIF(E39,"3.*")),O15-(O15*D48),IF(AND(COUNTIF(A39,"2.*"),COUNTIF(E39,"4.*")),O15-((O15*D48)+(O15*H48)),IF(AND(COUNTIF(A39,"3.*"),COUNTIF(E39,"1.*")),O15-J22,IF(AND(COUNTIF(A39,"3.*"),COUNTIF(E39,"2.*")),O15-(O15*H48),IF(AND(COUNTIF(A39,"3.*"),COUNTIF(E39,"3.*")),O15,IF(AND(COUNTIF(A39,"3.*"),COUNTIF(E39,"4.*")),O15-(O15*H48),IF(AND(COUNTIF(A39,"4.*"),COUNTIF(E39,"1.*")),O15-((O15*D48)+J22),IF(AND(COUNTIF(A39,"4.*"),COUNTIF(E39,"2.*")),O15-((O15*D48)+(O15*H48)),IF(AND(COUNTIF(A39,"4.*"),COUNTIF(E39,"3.*")),O15-(O15*D48),IF(AND(COUNTIF(A39,"4.*"),COUNTIF(E39,"4.*")),O15-((O15*D48)+(O15*H48)),IF(COUNTIF(A39,"1.*"),O15-I22,IF(OR(COUNTIF(A39,"2.*"),COUNTIF(A39,"4.*")),O15-(O15*D48),IF(COUNTIF(E39,"1.*"),O15-J22,IF(OR(COUNTIF(E39,"2.*"),COUNTIF(E39,"4.*")),O15-(O15*H48),SUM(B20*G20,B21*G21))))))))))))))))))))))</f>
        <v/>
      </c>
      <c r="Q27" s="3" t="str">
        <f>O27</f>
        <v/>
      </c>
    </row>
    <row r="28" spans="1:18" ht="15.75" customHeight="1" x14ac:dyDescent="0.25">
      <c r="A28" s="187"/>
      <c r="B28" s="131"/>
      <c r="C28" s="145"/>
      <c r="D28" s="137" t="str">
        <f>IF(COUNTIF(A39,"1.*"),C28*D45,"")</f>
        <v/>
      </c>
      <c r="E28" s="153"/>
      <c r="F28" s="137" t="str">
        <f>IF(COUNTIF(E39,"1.*"),E28*H45,"")</f>
        <v/>
      </c>
      <c r="G28" s="129"/>
      <c r="H28" s="126">
        <f>IF(AND(COUNTIF(A39,"1.*"),COUNTIF(E39,"1.*")),SUM(B28*G28)-((D28*G28)+(F28*G28)),IF(COUNTIF(A39,"1.*"),SUM(B28*G28)-(D28*G28),IF(COUNTIF(E39,"1.*"),SUM(B28*G28)-(F28*G28),B28*G28)))</f>
        <v>0</v>
      </c>
      <c r="I28" s="31" t="str">
        <f>IF(COUNTIF(A39,"1.*"),SUM(D28*G28),"")</f>
        <v/>
      </c>
      <c r="J28" s="126" t="str">
        <f>IF(COUNTIF(E39,"1.*"),SUM(E28*G28),"")</f>
        <v/>
      </c>
      <c r="K28" s="2" t="str">
        <f>IF(OR(COUNTIF(K9,"1.*"),COUNTIF(K9,"3.*")),"ER Factor",IF(COUNTIF(K9, "10.*"),"Member Delayed Calculation 1 Monthly Amount:",""))</f>
        <v>Member Delayed Calculation 1 Monthly Amount:</v>
      </c>
      <c r="L28" s="101"/>
      <c r="M28" s="101"/>
      <c r="N28" s="101"/>
      <c r="O28" s="112" t="str">
        <f>IF(COUNTIF(K9,"10.*"),"$"&amp;ROUND(O24+O25+O26,2),IF(OR(COUNTIF(K9,"5.*"),COUNTIF(K9,"2.*"),COUNTIF(K9,"4.*"),COUNTIF(K9,"6.*"),COUNTIF(K9,"7.*"),COUNTIF(K9,"8.*"),COUNTIF(K9,"9.*")),"",IF(OR(COUNTIF(K9,"1.*"),COUNTIF(K9,"3.*")),IF(DATEDIF(C3,C5,"m")&lt;=600,((DATEDIF(C3,C5,"m")-540)*0.1%+22%)*100&amp;"0%",IF(DATEDIF(C3,C5,"m")&lt;=660,((DATEDIF(C3,C5,"m")-600)*0.2%+28%)*100&amp;"0%",IF((DATEDIF(C3,C5,"m")-660)*0.5%+40%&gt;=100%,100%,((DATEDIF(C3,C5,"m")-660)*0.5%+40%)*100&amp;"0%"))))))</f>
        <v>$1900.71</v>
      </c>
    </row>
    <row r="29" spans="1:18" ht="14.25" thickBot="1" x14ac:dyDescent="0.3">
      <c r="A29" s="187"/>
      <c r="B29" s="132"/>
      <c r="C29" s="146"/>
      <c r="D29" s="138" t="str">
        <f>IF(COUNTIF(A39,"1.*"),C29*D45,"")</f>
        <v/>
      </c>
      <c r="E29" s="153"/>
      <c r="F29" s="137" t="str">
        <f>IF(COUNTIF(E39,"1.*"),E29*H45,"")</f>
        <v/>
      </c>
      <c r="G29" s="134"/>
      <c r="H29" s="126">
        <f>IF(AND(COUNTIF(A39,"1.*"),COUNTIF(E39,"1.*")),SUM(B29*G29)-((D29*G29)+(F29*G29)),IF(COUNTIF(A39,"1.*"),SUM(B29*G29)-(D29*G29),IF(COUNTIF(E39,"1.*"),SUM(B29*G29)-(F29*G29),B29*G29)))</f>
        <v>0</v>
      </c>
      <c r="I29" s="31" t="str">
        <f>IF(COUNTIF(A39,"1.*"),SUM(D29*G29),"")</f>
        <v/>
      </c>
      <c r="J29" s="126" t="str">
        <f>IF(COUNTIF(E39,"1.*"),SUM(E29*G29),"")</f>
        <v/>
      </c>
      <c r="K29" s="1" t="str">
        <f>IF(OR(COUNTIF(K9,"1.*"),COUNTIF(K9,"3.*")),"ER Benefit from 09/01/2011 to 09/30/2014",IF(COUNTIF(K9, "10.*"),"Member Delayed Calculation 1 13th Check Amount:",""))</f>
        <v>Member Delayed Calculation 1 13th Check Amount:</v>
      </c>
      <c r="L29" s="101"/>
      <c r="M29" s="101"/>
      <c r="N29" s="101"/>
      <c r="O29" s="31">
        <f>IF(OR(COUNTIF(K9,"1.*"),COUNTIF(K9,"3.*")),O15*O28,IF(COUNTIF(K9, "10.*"),O24+O25,""))</f>
        <v>1800.7264844199997</v>
      </c>
    </row>
    <row r="30" spans="1:18" ht="14.25" thickBot="1" x14ac:dyDescent="0.3">
      <c r="A30" s="24">
        <f>SUM(A24:A29)</f>
        <v>1.67</v>
      </c>
      <c r="B30" s="24">
        <f>SUM(B24:B29)</f>
        <v>0</v>
      </c>
      <c r="C30" s="91" t="str">
        <f>IF(COUNTIF(A39,"1.*"),SUM(C24:C29),"")</f>
        <v/>
      </c>
      <c r="D30" s="91" t="str">
        <f>IF(COUNTIF(A39,"1.*"),SUM(D24:D29),"")</f>
        <v/>
      </c>
      <c r="E30" s="91" t="str">
        <f>IF(COUNTIF(E39,"1.*"),SUM(E24:E29),"")</f>
        <v/>
      </c>
      <c r="F30" s="91" t="str">
        <f>IF(COUNTIF(E39,"1.*"),SUM(F24:F29),"")</f>
        <v/>
      </c>
      <c r="G30" s="121" t="s">
        <v>11</v>
      </c>
      <c r="H30" s="26">
        <f>SUM(H24:H29)</f>
        <v>116.89999999999999</v>
      </c>
      <c r="I30" s="26" t="str">
        <f>IF(COUNTIF(A39,"1.*"),SUM(I24:I29),"")</f>
        <v/>
      </c>
      <c r="J30" s="26" t="str">
        <f>IF(COUNTIF(E39,"1.*"),SUM(J24:J29),"")</f>
        <v/>
      </c>
      <c r="K30" s="1" t="str">
        <f>IF(OR(COUNTIF(K9,"2.*"),COUNTIF(K9,"10.*")),"","Member Benefit on and After 10/01/2014:")</f>
        <v/>
      </c>
      <c r="N30" s="1" t="str">
        <f>IF(OR(COUNTIF(K9,"2.*"),COUNTIF(K9,"10.*")),"",SUM(A24:A29,B24:B29))</f>
        <v/>
      </c>
      <c r="O30" s="31" t="str">
        <f>IF(OR(COUNTIF(K9,"2.*"),COUNTIF(K9,"10.*")),"",IF(AND(COUNTIF(A39,"1.*"),COUNTIF(E39,"1.*")),O16-(I30+J30),IF(AND(COUNTIF(A39,"1.*"),COUNTIF(E39,"2.*")),O16-(I30+(O16*H48)),IF(AND(COUNTIF(A39,"1.*"),COUNTIF(E39,"3.*")),O16-I30,IF(AND(COUNTIF(A39,"1.*"),COUNTIF(E39,"4.*")),O16-(I30+(O16*H48)),IF(AND(COUNTIF(A39,"2.*"),COUNTIF(E39,"1.*")),O16-((O16*D48)+J30),IF(AND(COUNTIF(A39,"2.*"),COUNTIF(E39,"2.*")),O16-((O16*D48)+(O16*H48)),IF(AND(COUNTIF(A39,"2.*"),COUNTIF(E39,"3.*")),O16-(O16*D48),IF(AND(COUNTIF(A39,"2.*"),COUNTIF(E39,"4.*")),O16-((O16*D48)+(O16*H48)),IF(AND(COUNTIF(A39,"3.*"),COUNTIF(E39,"1.*")),O16-J30,IF(AND(COUNTIF(A39,"3.*"),COUNTIF(E39,"2.*")),O16-(O16*H48),IF(AND(COUNTIF(A39,"3.*"),COUNTIF(E39,"3.*")),O16,IF(AND(COUNTIF(A39,"3.*"),COUNTIF(E39,"4.*")),O16-(O16*H48),IF(AND(COUNTIF(A39,"4.*"),COUNTIF(E39,"1.*")),O16-((O16*D48)+J18),IF(AND(COUNTIF(A39,"4.*"),COUNTIF(E39,"2.*")),O16-((O16*D48)+(O16*H48)),IF(AND(COUNTIF(A39,"4.*"),COUNTIF(E39,"3.*")),O16-(O16*D48),IF(AND(COUNTIF(A39,"4.*"),COUNTIF(E39,"4.*")),O16-((O16*D48)+(O16*H48)),IF(COUNTIF(A39,"1.*"),O16-I30,IF(OR(COUNTIF(A39,"2.*"),COUNTIF(A39,"4.*")),O16-(O16*D48),IF(COUNTIF(E39,"1.*"),O16-J30,IF(OR(COUNTIF(E39,"2.*"),COUNTIF(E39,"4.*")),O16-(O16*H48),SUM(B24*G24,B25*G25,B26*G26,B27*G27,B28*G28,B28*G28,B29*G29))))))))))))))))))))))</f>
        <v/>
      </c>
      <c r="Q30" s="3" t="str">
        <f>O30</f>
        <v/>
      </c>
    </row>
    <row r="31" spans="1:18" ht="15.75" customHeight="1" thickBot="1" x14ac:dyDescent="0.3">
      <c r="A31" s="24">
        <f>SUM(A18,A22,A30)</f>
        <v>15.4</v>
      </c>
      <c r="B31" s="24">
        <f>SUM(B18,B22,B30)</f>
        <v>11.92</v>
      </c>
      <c r="C31" s="24" t="str">
        <f>IF(COUNTIF(A39,"1.*"),SUM(C18,C22,C30),"")</f>
        <v/>
      </c>
      <c r="D31" s="24" t="str">
        <f>IF(COUNTIF(A39,"1.*"),SUM(D18,D22,D30),"")</f>
        <v/>
      </c>
      <c r="E31" s="24" t="str">
        <f>IF(COUNTIF(E39,"1.*"),SUM(E18,E22,E30),"")</f>
        <v/>
      </c>
      <c r="F31" s="91" t="str">
        <f>IF(COUNTIF(E39,"1.*"),SUM(F18,F22,F30),"")</f>
        <v/>
      </c>
      <c r="G31" s="122" t="str">
        <f>IF(COUNTIF(K9,"10.*"),"Pre-65 Total","Total")</f>
        <v>Pre-65 Total</v>
      </c>
      <c r="H31" s="26">
        <f>SUM(H18,H22,H30)</f>
        <v>2222.25</v>
      </c>
      <c r="I31" s="26" t="str">
        <f>IF(COUNTIF(A39,"1.*"),SUM(I18,I22,I30),"")</f>
        <v/>
      </c>
      <c r="J31" s="26" t="str">
        <f>IF(COUNTIF(E39,"1.*"),SUM(J18,J22,J30),"")</f>
        <v/>
      </c>
      <c r="K31" s="1" t="str">
        <f>IF(OR(COUNTIF(K9,"1.*"),COUNTIF(K9,"3.*"),COUNTIF(K9,"7.*")),"ER Factor","")</f>
        <v/>
      </c>
      <c r="O31" s="4" t="str">
        <f>IF(OR(COUNTIF(K9,"1.*"),COUNTIF(K9,"3.*"),COUNTIF(K9,"7.*")),IF(DATEDIF(C3,C5,"m")&lt;=600,(DATEDIF(C3,C5,"m")-540)*0.1%+22%,IF(DATEDIF(C3,C5,"m")&lt;=660,(DATEDIF(C3,C5,"m")-600)*0.2%+28%,IF((DATEDIF(C3,C5,"m")-660)*0.5%+40%&gt;=100%,100%,(DATEDIF(C3,C5,"m")-660)*0.5%+40%))),"")</f>
        <v/>
      </c>
    </row>
    <row r="32" spans="1:18" ht="15.75" customHeight="1" thickBot="1" x14ac:dyDescent="0.3">
      <c r="A32" s="564" t="str">
        <f>IF(COUNTIF(K9, "10.*"),"Credits Earned After Age 65","")</f>
        <v>Credits Earned After Age 65</v>
      </c>
      <c r="B32" s="565"/>
      <c r="C32" s="565"/>
      <c r="D32" s="565"/>
      <c r="E32" s="565"/>
      <c r="F32" s="565"/>
      <c r="G32" s="565"/>
      <c r="H32" s="565"/>
      <c r="I32" s="565"/>
      <c r="J32" s="566"/>
      <c r="K32" s="1" t="str">
        <f>IF(OR(COUNTIF(K9,"1.*"),COUNTIF(K9,"3.*"),COUNTIF(K9,"7.*")),"ER Benefit on or After 10/01/2014","")</f>
        <v/>
      </c>
      <c r="O32" s="3" t="str">
        <f>IF(OR(COUNTIF(K9,"1.*"),COUNTIF(K9,"3.*"),COUNTIF(K9,"7.*")),O16*O31,"")</f>
        <v/>
      </c>
    </row>
    <row r="33" spans="1:15" ht="15.75" customHeight="1" x14ac:dyDescent="0.25">
      <c r="A33" s="186"/>
      <c r="B33" s="130"/>
      <c r="C33" s="144"/>
      <c r="D33" s="136" t="str">
        <f>IF(COUNTIF(K9,"10.*"),IF(COUNTIF(E39,"1.*"),C33*D45,""),"")</f>
        <v/>
      </c>
      <c r="E33" s="150"/>
      <c r="F33" s="137" t="str">
        <f>IF(COUNTIF(K9,"10.*"),IF(COUNTIF(E39,"1.*"),E33*H45,""),"")</f>
        <v/>
      </c>
      <c r="G33" s="133">
        <f>IF(COUNTIF(K9, "10.*"),105,0)</f>
        <v>105</v>
      </c>
      <c r="H33" s="133"/>
      <c r="I33" s="133"/>
      <c r="J33" s="133"/>
      <c r="K33" s="1" t="str">
        <f>IF(COUNTIF(A39,"3.*"),"AP 1 Pay Status Reduction","")</f>
        <v/>
      </c>
      <c r="O33" s="1" t="str">
        <f>IF(COUNTIF(A39,"3.*"),D46,"")</f>
        <v/>
      </c>
    </row>
    <row r="34" spans="1:15" ht="15.75" customHeight="1" x14ac:dyDescent="0.25">
      <c r="A34" s="188"/>
      <c r="B34" s="131"/>
      <c r="C34" s="145"/>
      <c r="D34" s="137" t="str">
        <f>IF(COUNTIF(K9,"10.*"),IF(COUNTIF(E39,"1.*"),E34*D45,""),"")</f>
        <v/>
      </c>
      <c r="E34" s="151"/>
      <c r="F34" s="137" t="str">
        <f>IF(COUNTIF(K9,"10.*"),IF(COUNTIF(E39,"1.*"),E34*H45,""),"")</f>
        <v/>
      </c>
      <c r="G34" s="126">
        <f>IF(COUNTIF(K9, "10.*"),135,0)</f>
        <v>135</v>
      </c>
      <c r="H34" s="126"/>
      <c r="I34" s="126"/>
      <c r="J34" s="126"/>
      <c r="K34" s="1" t="str">
        <f>IF(COUNTIF(E39,"3.*"),"AP 2 Pay Status Reduction","")</f>
        <v/>
      </c>
      <c r="O34" s="1" t="str">
        <f>IF(COUNTIF(E39,"3.*"),H46,"")</f>
        <v/>
      </c>
    </row>
    <row r="35" spans="1:15" ht="15.75" customHeight="1" x14ac:dyDescent="0.25">
      <c r="A35" s="188"/>
      <c r="B35" s="131"/>
      <c r="C35" s="145"/>
      <c r="D35" s="137" t="str">
        <f>IF(COUNTIF(K9,"10.*"),IF(COUNTIF(E39,"1.*"),E35*D45,""),"")</f>
        <v/>
      </c>
      <c r="E35" s="151"/>
      <c r="F35" s="137" t="str">
        <f>IF(COUNTIF(K9,"10.*"),IF(COUNTIF(E39,"1.*"),E35*H45,""),"")</f>
        <v/>
      </c>
      <c r="G35" s="129"/>
      <c r="H35" s="126"/>
      <c r="I35" s="126"/>
      <c r="J35" s="126"/>
    </row>
    <row r="36" spans="1:15" ht="15.75" customHeight="1" thickBot="1" x14ac:dyDescent="0.3">
      <c r="A36" s="189"/>
      <c r="B36" s="132"/>
      <c r="C36" s="146"/>
      <c r="D36" s="138" t="str">
        <f>IF(COUNTIF(K9,"10.*"),IF(COUNTIF(E39,"1.*"),E36*D45,""),"")</f>
        <v/>
      </c>
      <c r="E36" s="152"/>
      <c r="F36" s="137" t="str">
        <f>IF(COUNTIF(K9,"10.*"),IF(COUNTIF(E39,"1.*"),E36*H45,""),"")</f>
        <v/>
      </c>
      <c r="G36" s="134"/>
      <c r="H36" s="127"/>
      <c r="I36" s="127"/>
      <c r="J36" s="127"/>
      <c r="K36" s="101" t="str">
        <f>IF(COUNTIF(K9, "10.*"),"Member Delayed Calculation 1 Monthly Amount:","")</f>
        <v>Member Delayed Calculation 1 Monthly Amount:</v>
      </c>
      <c r="L36" s="101"/>
      <c r="M36" s="101"/>
      <c r="N36" s="101"/>
      <c r="O36" s="192">
        <f>IF(COUNTIF(K9, "10.*"),SUM(O24,O27,O30),"")</f>
        <v>1603.6664844199997</v>
      </c>
    </row>
    <row r="37" spans="1:15" ht="15.75" customHeight="1" thickBot="1" x14ac:dyDescent="0.3">
      <c r="A37" s="91">
        <f>IF(COUNTIF(K9,"10.*"),SUM(A33:A36),"")</f>
        <v>0</v>
      </c>
      <c r="B37" s="91">
        <f>IF(COUNTIF(K9,"10.*"),SUM(B33:B36),"")</f>
        <v>0</v>
      </c>
      <c r="C37" s="91">
        <f>IF(COUNTIF(K9,"10.*"),SUM(C33:C36),"")</f>
        <v>0</v>
      </c>
      <c r="D37" s="91">
        <f>IF(COUNTIF(K9,"10.*"),SUM(D33:D36),"")</f>
        <v>0</v>
      </c>
      <c r="E37" s="91">
        <f>IF(COUNTIF(K9,"10.*"),SUM(E33:E36),"")</f>
        <v>0</v>
      </c>
      <c r="F37" s="91">
        <f>IF(COUNTIF(K9,"10.*"),SUM(F33:F36),"")</f>
        <v>0</v>
      </c>
      <c r="G37" s="121" t="str">
        <f>IF(COUNTIF(K9, "10.*"),"Post-65 Total","")</f>
        <v>Post-65 Total</v>
      </c>
      <c r="H37" s="135">
        <f>IF(COUNTIF(K9,"10.*"),SUM(H33:H36),"")</f>
        <v>0</v>
      </c>
      <c r="I37" s="135">
        <f>IF(COUNTIF(K9,"10.*"),SUM(I33:I36),"")</f>
        <v>0</v>
      </c>
      <c r="J37" s="135">
        <f>IF(COUNTIF(K9,"10.*"),SUM(J33:J36),"")</f>
        <v>0</v>
      </c>
      <c r="K37" s="101" t="str">
        <f>IF(COUNTIF(K9, "10.*"),"Member Delayed Calculation 1 13th Check Amount:","")</f>
        <v>Member Delayed Calculation 1 13th Check Amount:</v>
      </c>
      <c r="L37" s="101"/>
      <c r="M37" s="101"/>
      <c r="N37" s="101"/>
      <c r="O37" s="192">
        <f>IF(COUNTIF(K9, "10.*"),SUM(O24,O27),"")</f>
        <v>1603.6664844199997</v>
      </c>
    </row>
    <row r="38" spans="1:15" ht="15.75" customHeight="1" thickBot="1" x14ac:dyDescent="0.3">
      <c r="A38" s="185">
        <f>IF(COUNTIF(K9,"10.*"),SUM(A18,A22,A30,A37),"")</f>
        <v>15.4</v>
      </c>
      <c r="B38" s="185">
        <f>IF(COUNTIF(K9,"10.*"),SUM(B18,B22,B30,B37),"")</f>
        <v>11.92</v>
      </c>
      <c r="C38" s="185">
        <f>IF(COUNTIF(K9,"10.*"),SUM(C18,C22,C30,C37),"")</f>
        <v>0</v>
      </c>
      <c r="D38" s="185">
        <f>IF(COUNTIF(K9,"10.*"),SUM(D18,D22,D30,D37),"")</f>
        <v>0</v>
      </c>
      <c r="E38" s="185">
        <f>IF(COUNTIF(K9,"10.*"),SUM(E18,E22,E30,E37),"")</f>
        <v>0</v>
      </c>
      <c r="F38" s="185">
        <f>IF(COUNTIF(K9,"10.*"),SUM(F18,F22,F30,F37),"")</f>
        <v>0</v>
      </c>
      <c r="G38" s="184" t="str">
        <f>IF(COUNTIF(K9, "10.*"),"Total","")</f>
        <v>Total</v>
      </c>
      <c r="H38" s="183">
        <f>IF(COUNTIF(K9,"10.*"),SUM(H18,H22,H30,H37),"")</f>
        <v>2222.25</v>
      </c>
      <c r="I38" s="183">
        <f>IF(COUNTIF(K9,"10.*"),SUM(I18,I22,I30,I37),"")</f>
        <v>0</v>
      </c>
      <c r="J38" s="183">
        <f>IF(COUNTIF(K9,"10.*"),SUM(J18,J22,J30,J37),"")</f>
        <v>0</v>
      </c>
      <c r="K38" s="1" t="str">
        <f>IF(COUNTIF(K9, "10.*"),"Date Member turned 65:","")</f>
        <v>Date Member turned 65:</v>
      </c>
      <c r="O38" s="193">
        <f>IF(COUNTIF(K9, "10.*"),EDATE(C3,65*12),"")</f>
        <v>44992</v>
      </c>
    </row>
    <row r="39" spans="1:15" ht="14.65" customHeight="1" thickBot="1" x14ac:dyDescent="0.3">
      <c r="A39" s="671" t="s">
        <v>189</v>
      </c>
      <c r="B39" s="672"/>
      <c r="C39" s="672"/>
      <c r="D39" s="673"/>
      <c r="E39" s="671" t="s">
        <v>193</v>
      </c>
      <c r="F39" s="672"/>
      <c r="G39" s="672"/>
      <c r="H39" s="673"/>
      <c r="K39" s="1" t="str">
        <f>IF(DATEDIF(C3,C5,"m")&gt;=846,"Date Member turned 70 1/2:","")</f>
        <v/>
      </c>
      <c r="O39" s="95" t="str">
        <f>IF(DATEDIF(C3,C5,"m")&gt;=846,EDATE(C3,70*12+6),"")</f>
        <v/>
      </c>
    </row>
    <row r="40" spans="1:15" ht="14.65" customHeight="1" thickBot="1" x14ac:dyDescent="0.3">
      <c r="A40" s="181"/>
      <c r="B40" s="179"/>
      <c r="C40" s="179"/>
      <c r="D40" s="180"/>
      <c r="E40" s="181"/>
      <c r="F40" s="179"/>
      <c r="G40" s="179"/>
      <c r="H40" s="180"/>
      <c r="K40" s="1" t="str">
        <f>IF(COUNTIF(K9, "10.*"),"Member Pre-65 Monthly Pension Amount:","")</f>
        <v>Member Pre-65 Monthly Pension Amount:</v>
      </c>
    </row>
    <row r="41" spans="1:15" ht="15.75" customHeight="1" thickBot="1" x14ac:dyDescent="0.3">
      <c r="A41" s="561" t="str">
        <f>IF(COUNTIF(A39,"_"),"","AP 1 QDRO Calculation")</f>
        <v>AP 1 QDRO Calculation</v>
      </c>
      <c r="B41" s="562"/>
      <c r="C41" s="562"/>
      <c r="D41" s="563"/>
      <c r="E41" s="561" t="str">
        <f>IF(COUNTIF(E39,"_"),"","AP 2 QDRO Calculation")</f>
        <v/>
      </c>
      <c r="F41" s="562"/>
      <c r="G41" s="562"/>
      <c r="H41" s="563"/>
      <c r="K41" s="1" t="str">
        <f>IF(COUNTIF(K9, "10.*"),"Member Pre-65 13th Check Amount:","")</f>
        <v>Member Pre-65 13th Check Amount:</v>
      </c>
    </row>
    <row r="42" spans="1:15" ht="27" customHeight="1" x14ac:dyDescent="0.25">
      <c r="A42" s="77" t="str">
        <f>IF(COUNTIF(A39,"_"),"","AP 1 Name:")</f>
        <v>AP 1 Name:</v>
      </c>
      <c r="B42" s="176" t="s">
        <v>188</v>
      </c>
      <c r="C42" s="111" t="str">
        <f>IF(COUNTIF(A39,"_"),"","AP 1 DOB:")</f>
        <v>AP 1 DOB:</v>
      </c>
      <c r="D42" s="173">
        <v>31610</v>
      </c>
      <c r="E42" s="77" t="str">
        <f>IF(COUNTIF(E39,"_"),"","AP 2 Name:")</f>
        <v/>
      </c>
      <c r="F42" s="177"/>
      <c r="G42" s="111" t="str">
        <f>IF(COUNTIF(E39,"_"),"","AP 2 DOB:")</f>
        <v/>
      </c>
      <c r="H42" s="155"/>
      <c r="K42" s="1" t="str">
        <f>IF(COUNTIF(K9, "10.*"),"First 60 months with 40 hours or less (1.00%):","")</f>
        <v>First 60 months with 40 hours or less (1.00%):</v>
      </c>
      <c r="O42" s="98"/>
    </row>
    <row r="43" spans="1:15" x14ac:dyDescent="0.25">
      <c r="A43" s="77" t="str">
        <f>IF(COUNTIF(A39,"_"),"","DOM:")</f>
        <v>DOM:</v>
      </c>
      <c r="B43" s="174">
        <v>40733</v>
      </c>
      <c r="C43" s="1" t="str">
        <f>IF(COUNTIF(A39,"_"),"","DOS:")</f>
        <v>DOS:</v>
      </c>
      <c r="D43" s="175">
        <v>44569</v>
      </c>
      <c r="E43" s="77" t="str">
        <f>IF(COUNTIF(E39,"_"),"","DOM:")</f>
        <v/>
      </c>
      <c r="F43" s="154"/>
      <c r="G43" s="1" t="str">
        <f>IF(COUNTIF(E39,"_"),"","DOS:")</f>
        <v/>
      </c>
      <c r="H43" s="156"/>
      <c r="K43" s="1" t="str">
        <f>IF(COUNTIF(K9, "10.*"),"61 + months with 40 hours or less (1.50%):","")</f>
        <v>61 + months with 40 hours or less (1.50%):</v>
      </c>
      <c r="O43" s="98"/>
    </row>
    <row r="44" spans="1:15" ht="27.75" customHeight="1" x14ac:dyDescent="0.25">
      <c r="A44" s="142" t="str">
        <f>IF(COUNTIF(A39,"_"),"",IF(COUNTIF(A39,"2.*"),"Total Service Credits:",IF(COUNTIF(A39,"4.*"),"Total Months Worked","")))</f>
        <v>Total Service Credits:</v>
      </c>
      <c r="B44" s="112">
        <f>IF(COUNTIF(A39,"_"),"",IF(COUNTIF(A39,"2.*"),SUM(B11:B17,B20:B21,B24:B29),IF(COUNTIF(A39,"4.*"),SUM('QDRO Month Calc'!B4:B69),"")))</f>
        <v>11.92</v>
      </c>
      <c r="C44" s="143" t="str">
        <f>IF(COUNTIF(A39,"_"),"",IF(COUNTIF(A39,"2.*"),"Total Credits EDM:",IF(COUNTIF(A39,"3.*"),"",IF(COUNTIF(A39,"4.*"),"Total Months Worked During Marriage",""))))</f>
        <v>Total Credits EDM:</v>
      </c>
      <c r="D44" s="147">
        <v>3.91</v>
      </c>
      <c r="E44" s="142" t="str">
        <f>IF(COUNTIF(E39,"_"),"",IF(COUNTIF(E39,"2.*"),"Total Service Credits:",IF(COUNTIF(E39,"4.*"),"Total Months Worked","")))</f>
        <v/>
      </c>
      <c r="F44" s="112" t="str">
        <f>IF(COUNTIF(E39,"_"),"",IF(COUNTIF(E39,"2.*"),SUM(B11:B17,B20:B21,B24:B29),IF(COUNTIF(E39,"4.*"),SUM('QDRO Month Calc'!H4:H69),"")))</f>
        <v/>
      </c>
      <c r="G44" s="143" t="str">
        <f>IF(COUNTIF(E39,"_"),"",IF(COUNTIF(E39,"2.*"),"Total Credits EDM:",IF(COUNTIF(E39,"3.*"),"",IF(COUNTIF(E39,"4.*"),"Total Months Worked During Marriage",""))))</f>
        <v/>
      </c>
      <c r="H44" s="157">
        <v>3.91</v>
      </c>
      <c r="K44" s="1" t="str">
        <f>IF(COUNTIF(K9, "10.*"),"Delayed Calc 2 Retirement Increase:","")</f>
        <v>Delayed Calc 2 Retirement Increase:</v>
      </c>
      <c r="O44" s="102">
        <f>IF(COUNTIF(K9, "10.*"),((O42*1%)+(O43*1.5%)),"")</f>
        <v>0</v>
      </c>
    </row>
    <row r="45" spans="1:15" ht="54" x14ac:dyDescent="0.25">
      <c r="A45" s="142" t="str">
        <f>IF(COUNTIF(A39,"_"),"",IF(OR(COUNTIF(A39,"2.*"),COUNTIF(A39,"4.*")),"Community Property Percentage:",""))</f>
        <v>Community Property Percentage:</v>
      </c>
      <c r="B45" s="102">
        <f>IF(COUNTIF(A39,"_"),"",IF(OR(COUNTIF(A39,"2.*"),COUNTIF(A39,"4.*")),ROUNDDOWN(SUM(D44/B44),4),""))</f>
        <v>0.32800000000000001</v>
      </c>
      <c r="C45" s="141" t="str">
        <f>IF(COUNTIF(A39,"_"),"",IF(OR(COUNTIF(A39,"1.*"),COUNTIF(A39,"2.*"),COUNTIF(A39,"4.*")),"Percentage Amount Awarded to AP 1:",""))</f>
        <v>Percentage Amount Awarded to AP 1:</v>
      </c>
      <c r="D45" s="148">
        <v>0.5</v>
      </c>
      <c r="E45" s="142" t="str">
        <f>IF(COUNTIF(E39,"_"),"",IF(OR(COUNTIF(E39,"2.*"),COUNTIF(E39,"4.*")),"Community Property Percentage:",""))</f>
        <v/>
      </c>
      <c r="F45" s="102" t="str">
        <f>IF(COUNTIF(E39,"_"),"",IF(OR(COUNTIF(E39,"2.*"),COUNTIF(E39,"4.*")),ROUNDDOWN(SUM(H44/F44),4),""))</f>
        <v/>
      </c>
      <c r="G45" s="141" t="str">
        <f>IF(COUNTIF(E39,"_"),"",IF(OR(COUNTIF(E39,"1.*"),COUNTIF(E39,"2.*"),COUNTIF(E39,"4.*")),"Percentage Amount Awarded to AP 2:",""))</f>
        <v/>
      </c>
      <c r="H45" s="158">
        <v>0.5</v>
      </c>
      <c r="O45" s="4"/>
    </row>
    <row r="46" spans="1:15" x14ac:dyDescent="0.25">
      <c r="A46" s="77" t="str">
        <f>IF(COUNTIF(A39,"_"),"",IF(COUNTIF(A39,"3.*"),"AP 1 Awarded Monthly Amount:",""))</f>
        <v/>
      </c>
      <c r="D46" s="149"/>
      <c r="E46" s="77" t="str">
        <f>IF(COUNTIF(E39,"_"),"",IF(COUNTIF(E39,"3.*"),"AP 2 Awarded Monthly Amount:",""))</f>
        <v/>
      </c>
      <c r="H46" s="159"/>
      <c r="K46" s="160" t="str">
        <f>IF(AND(COUNTIF(A39,"_"),COUNTIF(E39,"_")),"","Member Monthly Benefit After AP Reductions:")</f>
        <v>Member Monthly Benefit After AP Reductions:</v>
      </c>
      <c r="L46" s="160"/>
      <c r="M46" s="160"/>
      <c r="N46" s="160"/>
      <c r="O46" s="161" t="e">
        <f>IF(AND(COUNTIF(A39,"_"),COUNTIF(E39,"_")),"",IF(COUNTIF(K9,"1.*"),SUM(O26,O29,O32),IF(COUNTIF(K9,"3.*"),SUM(O24,O29,O32),IF(COUNTIF(K9,"7.*"),(O24+O27+O32),(O24+O27+O30)))))</f>
        <v>#VALUE!</v>
      </c>
    </row>
    <row r="47" spans="1:15" x14ac:dyDescent="0.25">
      <c r="A47" s="77" t="str">
        <f>IF(COUNTIF(A39,"_"),"",IF(COUNTIF(A39,"3.*"),"AP 1 Awarded 13th Check Amount:",""))</f>
        <v/>
      </c>
      <c r="D47" s="149"/>
      <c r="E47" s="77" t="str">
        <f>IF(COUNTIF(E39,"_"),"",IF(COUNTIF(E39,"3.*"),"AP 2 Awarded 13th Check Amount:",""))</f>
        <v/>
      </c>
      <c r="H47" s="159"/>
      <c r="K47" s="160" t="str">
        <f>IF(AND(COUNTIF(A39,"_"),COUNTIF(E39,"_")),"","Member 13th Check After AP Reductions:")</f>
        <v>Member 13th Check After AP Reductions:</v>
      </c>
      <c r="L47" s="160"/>
      <c r="M47" s="160"/>
      <c r="N47" s="160"/>
      <c r="O47" s="161" t="e">
        <f>IF(AND(COUNTIF(A39,"_"),COUNTIF(E39,"_")),"",IF(COUNTIF(K9,"1.*"),SUM(O26,O29),IF(COUNTIF(K9,"3.*"),SUM(O24,O29),ROUND(O24+O27,2))))</f>
        <v>#VALUE!</v>
      </c>
    </row>
    <row r="48" spans="1:15" x14ac:dyDescent="0.25">
      <c r="A48" s="77" t="str">
        <f>IF(COUNTIF(A39,"_"),"",IF(OR(COUNTIF(A39,"2.*"),COUNTIF(A39,"4.*")),"Final AP 1 Awarded Percentage:",""))</f>
        <v>Final AP 1 Awarded Percentage:</v>
      </c>
      <c r="D48" s="113">
        <f>IF(COUNTIF(A39,"_"),"",IF(OR(COUNTIF(A39,"2.*"),COUNTIF(A39,"4.*")),ROUNDDOWN(SUM(B45*D45),4),""))</f>
        <v>0.16400000000000001</v>
      </c>
      <c r="E48" s="77" t="str">
        <f>IF(COUNTIF(E39,"_"),"",IF(OR(COUNTIF(E39,"2.*"),COUNTIF(E39,"4.*")),"Final AP 2 Awarded Percentage:",""))</f>
        <v/>
      </c>
      <c r="H48" s="113" t="str">
        <f>IF(COUNTIF(E39,"_"),"",IF(OR(COUNTIF(E39,"2.*"),COUNTIF(E39,"4.*")),ROUNDDOWN(SUM(F45*H45),4),""))</f>
        <v/>
      </c>
      <c r="K48" s="160" t="str">
        <f>IF(AND(COUNTIF(A39,"_"),COUNTIF(E39,"_")),"",IF(OR(COUNTIF(K9,"1.*"),COUNTIF(K9,"3.*"),COUNTIF(K9,"7.*")),"Member Benefit Deferred at Age 65 After AP Reductions:",""))</f>
        <v/>
      </c>
      <c r="L48" s="160"/>
      <c r="M48" s="160"/>
      <c r="N48" s="160"/>
      <c r="O48" s="161" t="str">
        <f>IF(AND(COUNTIF(A39,"_"),COUNTIF(E39,"_")),"",IF(OR(COUNTIF(K9,"1.*"),COUNTIF(K9,"3.*"),COUNTIF(K9,"7.*")),SUM(O24,O27,O30),""))</f>
        <v/>
      </c>
    </row>
    <row r="49" spans="1:17" ht="15.75" customHeight="1" thickBot="1" x14ac:dyDescent="0.3">
      <c r="A49" s="77" t="str">
        <f>IF(COUNTIF(A39,"_"),"",IF(OR(COUNTIF(A39,"1.*"),COUNTIF(A39,"2.*"),COUNTIF(A39,"4.*")),"AP 1 Full Benefit Prior to 09/01/2011:",""))</f>
        <v>AP 1 Full Benefit Prior to 09/01/2011:</v>
      </c>
      <c r="D49" s="5">
        <f>IF(COUNTIF(A39,"_"),"",IF(OR(COUNTIF(A39,"2.*"),COUNTIF(A39,"4.*")),O14*D48,IF(COUNTIF(A39,"1.*"),I18,"")))</f>
        <v>314.59486057999993</v>
      </c>
      <c r="E49" s="77" t="str">
        <f>IF(COUNTIF(E39,"_"),"",IF(OR(COUNTIF(E39,"1.*"),COUNTIF(E39,"2.*"),COUNTIF(E39,"4.*")),"AP 2 Full Benefit Prior to 09/01/2011:",""))</f>
        <v/>
      </c>
      <c r="H49" s="5" t="str">
        <f>IF(COUNTIF(E39,"_"),"",IF(OR(COUNTIF(E39,"2.*"),COUNTIF(E39,"4.*")),O14*H48,IF(COUNTIF(E39,"1.*"),J18,"")))</f>
        <v/>
      </c>
      <c r="J49" s="2"/>
      <c r="K49" s="160" t="str">
        <f>IF(AND(COUNTIF(A39,"_"),COUNTIF(E39,"_")),"",IF(OR(COUNTIF(K9,"1.*"),COUNTIF(K9,"3.*"),COUNTIF(K9,"7.*")),"Member 13th Check After AP Reductions:",""))</f>
        <v/>
      </c>
      <c r="L49" s="160"/>
      <c r="M49" s="160"/>
      <c r="N49" s="160"/>
      <c r="O49" s="161" t="str">
        <f>IF(AND(COUNTIF(A39,"_"),COUNTIF(E39,"_")),"",IF(OR(COUNTIF(K9,"1.*"),COUNTIF(K9,"3.*"),COUNTIF(K9,"7.*")),SUM(O24,O27),""))</f>
        <v/>
      </c>
      <c r="Q49" s="2"/>
    </row>
    <row r="50" spans="1:17" ht="14.25" thickBot="1" x14ac:dyDescent="0.3">
      <c r="A50" s="77" t="str">
        <f>IF(COUNTIF(A39,"_"),"",IF(OR(COUNTIF(A39,"1.*"),COUNTIF(A39,"2.*"),COUNTIF(A39,"4.*")),IF(OR(COUNTIF(K9,"1.*"),COUNTIF(K9,"6.*")),"AP 1 Early Retirement Factor:",""),""))</f>
        <v/>
      </c>
      <c r="D50" s="113" t="str">
        <f>IF(OR(COUNTIF(A39,"1.*"),COUNTIF(A39,"2.*"),COUNTIF(A39,"4.*")),IF(OR(COUNTIF(K9,"1.*"),COUNTIF(K9,"6.*")),IF(DATEDIF(C3,C5,"m")&lt;=600,(DATEDIF(C3,C5,"m")-540)*0.1%+40%,IF(DATEDIF(C3,C5,"m")&lt;=660,(DATEDIF(C3,C5,"m")-600)*0.2%+46%,IF((DATEDIF(C3,C5,"m")-660)*0.5%+58%&gt;=100%,100%,(DATEDIF(C3,C5,"m")-660)*0.5%+58%))),""),"")</f>
        <v/>
      </c>
      <c r="E50" s="77" t="str">
        <f>IF(COUNTIF(E39,"_"),"",IF(OR(COUNTIF(E39,"1.*"),COUNTIF(E39,"2.*"),COUNTIF(E39,"4.*")),IF(OR(COUNTIF(K9,"1.*"),COUNTIF(K9,"6.*")),"AP 2 Early Retirement Factor:",""),""))</f>
        <v/>
      </c>
      <c r="H50" s="113" t="str">
        <f>IF(OR(COUNTIF(E39,"1.*"),COUNTIF(E39,"2.*"),COUNTIF(E39,"4.*")),IF(OR(COUNTIF(K9,"1.*"),COUNTIF(K9,"6.*")),IF(DATEDIF(C3,C5,"m")&lt;=600,(DATEDIF(C3,C5,"m")-540)*0.1%+40%,IF(DATEDIF(C3,C5,"m")&lt;=660,(DATEDIF(C3,C5,"m")-600)*0.2%+46%,IF((DATEDIF(C3,C5,"m")-660)*0.5%+58%&gt;=100%,100%,(DATEDIF(C3,C5,"m")-660)*0.5%+58%))),""),"")</f>
        <v/>
      </c>
      <c r="K50" s="540" t="str">
        <f>IF(COUNTIF(C7,""),"",IF(COUNTIF(K9,"1.*"),"Early Retirement H&amp;W Pension Options",IF(COUNTIF(K9,"2.*"),"Regular at 62 H&amp;W Pension Options",IF(COUNTIF(K9,"3.*"),"Regular at 62 &amp; Early H&amp;W Pension Options",IF(COUNTIF(K9,"4.*"),"Regular at 62 &amp; Disability H&amp;W Pension Options",IF(COUNTIF(K9,"5.*"),"Regular at 65 H&amp;W Pension Options",IF(COUNTIF(K9,"6.*"),"Disability H&amp;W Pension Options",IF(COUNTIF(K9,"7.*"),"Service Pre-Age 55 &amp; Early H&amp;W Pension Options",IF(COUNTIF(K9,"8.*"),"Service Pre-Age 55 &amp; Disability H&amp;W Pension Options",IF(COUNTIF(K9,"9.*"),"Service H&amp;W Pension Options",IF(COUNTIF(K9,"10.*"),"Delayed Retirement 1 H&amp;W Options","Additional H&amp;W Options")))))))))))</f>
        <v>Delayed Retirement 1 H&amp;W Options</v>
      </c>
      <c r="L50" s="541"/>
      <c r="M50" s="541"/>
      <c r="N50" s="542"/>
    </row>
    <row r="51" spans="1:17" x14ac:dyDescent="0.25">
      <c r="A51" s="77" t="str">
        <f>IF(COUNTIF(A39,"_"),"",IF(OR(COUNTIF(A39,"1.*"),COUNTIF(A39,"2.*"),COUNTIF(A39,"4.*")),IF(OR(COUNTIF(K9,"1.*"),COUNTIF(K9,"6.*")),"AP 1 Early Benefit Prior to 09/01/2011:",""),""))</f>
        <v/>
      </c>
      <c r="D51" s="5" t="str">
        <f>IF(OR(COUNTIF(A39,"_"),COUNTIF(A39,"3.*")),"",IF(OR(COUNTIF(A39,"2.*"),COUNTIF(A39,"4.*")),IF(OR(COUNTIF(K9,"1.*"),COUNTIF(K9,"6.*")),D49*D50,""),IF(COUNTIF(A39,"1.*"),IF(OR(COUNTIF(K9,"1.*"),COUNTIF(K9,"6.*")),D49*D50,D49))))</f>
        <v/>
      </c>
      <c r="E51" s="77" t="str">
        <f>IF(COUNTIF(E39,"_"),"",IF(OR(COUNTIF(E39,"1.*"),COUNTIF(E39,"2.*"),COUNTIF(E39,"4.*")),IF(OR(COUNTIF(K9,"1.*"),COUNTIF(K9,"6.*")),"AP 2 Early Benefit Prior to 09/01/2011:",""),""))</f>
        <v/>
      </c>
      <c r="H51" s="5" t="str">
        <f>IF(OR(COUNTIF(E39,"_"),COUNTIF(E39,"3.*")),"",IF(OR(COUNTIF(E39,"2.*"),COUNTIF(E39,"4.*")),IF(OR(COUNTIF(K9,"1.*"),COUNTIF(K9,"6.*")),H49*H50,""),IF(COUNTIF(E39,"1.*"),IF(OR(COUNTIF(K9,"1.*"),COUNTIF(K9,"6.*")),H49*H50,""))))</f>
        <v/>
      </c>
      <c r="J51" s="119"/>
      <c r="K51" s="11" t="str">
        <f>IF(COUNTIF(C7,""),"","Option")</f>
        <v>Option</v>
      </c>
      <c r="L51" s="10" t="str">
        <f>IF(COUNTIF(C7,""),"","Factor")</f>
        <v>Factor</v>
      </c>
      <c r="M51" s="10" t="str">
        <f>IF(COUNTIF(C7,""),"","Member Benefit")</f>
        <v>Member Benefit</v>
      </c>
      <c r="N51" s="15" t="str">
        <f>IF(COUNTIF(C7,""),"","Spouse Benefit")</f>
        <v>Spouse Benefit</v>
      </c>
    </row>
    <row r="52" spans="1:17" ht="15.75" customHeight="1" x14ac:dyDescent="0.25">
      <c r="A52" s="77" t="str">
        <f>IF(COUNTIF(A39,"_"),"",IF(OR(COUNTIF(A39,"1.*"),COUNTIF(A39,"2.*"),COUNTIF(A39,"4.*")),"AP 1 Full Benefit on 09/01/2011 to 09/30/2014:",""))</f>
        <v>AP 1 Full Benefit on 09/01/2011 to 09/30/2014:</v>
      </c>
      <c r="D52" s="5">
        <f>IF(OR(COUNTIF(A39,"_"),COUNTIF(A39,"3.*")),"",IF(COUNTIF(A39,"1.*"),I22,IF(OR(COUNTIF(A39,"2.*"),COUNTIF(A39,"4.*")),IF(COUNTIF(K9,"2.*"),"",O15*D48))))</f>
        <v>38.658447359999997</v>
      </c>
      <c r="E52" s="77" t="str">
        <f>IF(COUNTIF(E39,"_"),"",IF(OR(COUNTIF(E39,"1.*"),COUNTIF(E39,"2.*"),COUNTIF(E39,"4.*")),"AP 2 Full Benefit on 09/01/2011 to 09/30/2014:",""))</f>
        <v/>
      </c>
      <c r="H52" s="5" t="str">
        <f>IF(COUNTIF(E39,"_"),"",IF(OR(COUNTIF(E39,"2.*"),COUNTIF(E39,"4.*")),O15*H48,IF(COUNTIF(E39,"1.*"),J22,"")))</f>
        <v/>
      </c>
      <c r="K52" s="162" t="str">
        <f>IF(COUNTIF(C7,""),"","50%")</f>
        <v>50%</v>
      </c>
      <c r="L52" s="163">
        <f>IF(COUNTIF(C7,""),"",IF(COUNTIF(K9,"4.*"),IF(COUNTIF(J8,"*Younger*"),100%-8%-(I8*0.4%),IF(100%-8%+(I8*0.4%)&gt;100%,100%,100%-8%+(I8*0.4%)))*100&amp;"% / "&amp;IF(COUNTIF(J8,"*Younger*"),100%-18%-(I8*0.4%),IF(100%-18%+(I8*0.4%)&gt;100%,100%,100%-18%+(I8*0.4%)))*100&amp;"%",IF(COUNTIF(K9,"6.*"),IF(COUNTIF(J8,"*Younger*"),100%-18%-(I8*0.4%),IF(100%-18%+(I8*0.4%)&gt;100%,100%,100%-18%+(I8*0.4%))),IF(COUNTIF(K9,"8.*"),IF(COUNTIF(J8,"*Younger*"),100%-8%-(I8*0.4%),IF(100%-8%+(I8*0.4%)&gt;100%,100%,100%-8%+(I8*0.4%)))*100&amp;"% / "&amp;IF(COUNTIF(J8,"*Younger*"),100%-18%-(I8*0.4%),IF(100%-18%+(I8*0.4%)&gt;100%,100%,100%-18%+(I8*0.4%)))*100&amp;"%",IF(COUNTIF(J8,"*Younger*"),100%-8%-(I8*0.4%),IF(100%-8%+(I8*0.4%)&gt;100%,100%,100%-8%+(I8*0.4%)))))))</f>
        <v>0.92</v>
      </c>
      <c r="M52" s="164" t="str">
        <f>IF(COUNTIF(C7,""),"",IF(COUNTIF(K9,"1.*"),(O46)*L52,IF(COUNTIF(K9,"2.*"),(O46)*L52,IF(COUNTIF(K9,"3.*"),(O46)*L52,IF(COUNTIF(K9,"5.*"),(O46)*L52,IF(COUNTIF(K9,"6.*"),(O46)*L52,IF(COUNTIF(K9,"7.*"),(O46)*L52,IF(COUNTIF(K9,"8.*"),(O14+O15)*IF(COUNTIF(J8,"*Younger*"),100%-8%-(I8*0.4%),IF(100%-8%+(I8*0.4%)&gt;100%,100%,100%-8%+(I8*0.4%)))+(O16*IF(COUNTIF(J8,"*Younger*"),100%-18%-(I8*0.4%),IF(100%-18%+(I8*0.4%)&gt;100%,100%,100%-18%+(I8*0.4%)))),IF(COUNTIF(K9,"4.*"),O14*IF(COUNTIF(J8,"*Younger*"),100%-8%-(I8*0.4%),IF(100%-8%+(I8*0.4%)&gt;100%,100%,100%-8%+(I8*0.4%)))+(O15+O16)*IF(COUNTIF(J8,"*Younger*"),100%-18%-(I8*0.4%),IF(100%-18%+(I8*0.4%)&gt;100%,100%,100%-18%+(I8*0.4%))),IF(COUNTIF(K9,"9.*"),(O46)*L52,""))))))))))</f>
        <v/>
      </c>
      <c r="N52" s="165" t="e">
        <f>IF(COUNTIF(C7,""),"",M52*K52)</f>
        <v>#VALUE!</v>
      </c>
    </row>
    <row r="53" spans="1:17" x14ac:dyDescent="0.25">
      <c r="A53" s="77" t="str">
        <f>IF(COUNTIF(A39,"_"),"",IF(OR(COUNTIF(A39,"1.*"),COUNTIF(A39,"2.*"),COUNTIF(A39,"4.*")),IF(OR(COUNTIF(K9,"1.*"),COUNTIF(K9,"3.*"),COUNTIF(K9,"4.*"),COUNTIF(K9,"6.*")),"AP 1 Early Retirement Factor:",""),""))</f>
        <v/>
      </c>
      <c r="D53" s="113" t="str">
        <f>IF(OR(COUNTIF(A39,"1.*"),COUNTIF(A39,"2.*"),COUNTIF(A39,"4.*")),IF(OR(COUNTIF(K9,"1.*"),COUNTIF(K9,"3.*"),COUNTIF(K9,"4.*"),COUNTIF(K9,"6.*")),IF(DATEDIF(C3,C5,"m")&lt;=600,(DATEDIF(C3,C5,"m")-540)*0.1%+22%,IF(DATEDIF(C3,C5,"m")&lt;=660,(DATEDIF(C3,C5,"m")-600)*0.2%+28%,IF((DATEDIF(C3,C5,"m")-660)*0.5%+40%&gt;=100%,100%,(DATEDIF(C3,C5,"m")-660)*0.5%+40%))),""),"")</f>
        <v/>
      </c>
      <c r="E53" s="77" t="str">
        <f>IF(COUNTIF(E39,"_"),"",IF(OR(COUNTIF(E39,"1.*"),COUNTIF(E39,"2.*"),COUNTIF(E39,"4.*")),IF(OR(COUNTIF(K9,"1.*"),COUNTIF(K9,"3.*"),COUNTIF(K9,"4.*"),COUNTIF(K9,"6.*")),"AP 2 Early Retirement Factor:",""),""))</f>
        <v/>
      </c>
      <c r="H53" s="113" t="str">
        <f>IF(OR(COUNTIF(E39,"1.*"),COUNTIF(E39,"2.*"),COUNTIF(E39,"4.*")),IF(OR(COUNTIF(K9,"1.*"),COUNTIF(K9,"3.*"),COUNTIF(K9,"4.*"),COUNTIF(K9,"6.*")),IF(DATEDIF(C3,C5,"m")&lt;=600,(DATEDIF(C3,C5,"m")-540)*0.1%+22%,IF(DATEDIF(C3,C5,"m")&lt;=660,(DATEDIF(C3,C5,"m")-600)*0.2%+28%,IF((DATEDIF(C3,C5,"m")-660)*0.5%+40%&gt;=100%,100%,(DATEDIF(C3,C5,"m")-660)*0.5%+40%))),""),"")</f>
        <v/>
      </c>
      <c r="J53" s="2"/>
      <c r="K53" s="166" t="str">
        <f>IF(COUNTIF(C7,""),"","13th Check")</f>
        <v>13th Check</v>
      </c>
      <c r="L53" s="163">
        <f>IF(COUNTIF(C7,""),"",IF(COUNTIF(K9,"4.*"),IF(COUNTIF(J8,"*Younger*"),100%-8%-(I8*0.4%),IF(100%-8%+(I8*0.4%)&gt;100%,100%,100%-8%+(I8*0.4%)))*100&amp;"% / "&amp;IF(COUNTIF(J8,"*Younger*"),100%-18%-(I8*0.4%),IF(100%-18%+(I8*0.4%)&gt;100%,100%,100%-18%+(I8*0.4%)))*100&amp;"%",IF(COUNTIF(K9,"6.*"),IF(COUNTIF(J8,"*Younger*"),100%-18%-(I8*0.4%),IF(100%-18%+(I8*0.4%)&gt;100%,100%,100%-18%+(I8*0.4%))),IF(COUNTIF(K9,"8.*"),IF(COUNTIF(J8,"*Younger*"),100%-8%-(I8*0.4%),IF(100%-8%+(I8*0.4%)&gt;100%,100%,100%-8%+(I8*0.4%)))*100&amp;"% / "&amp;IF(COUNTIF(J8,"*Younger*"),100%-18%-(I8*0.4%),IF(100%-18%+(I8*0.4%)&gt;100%,100%,100%-18%+(I8*0.4%)))*100&amp;"%",IF(COUNTIF(J8,"*Younger*"),100%-8%-(I8*0.4%),IF(100%-8%+(I8*0.4%)&gt;100%,100%,100%-8%+(I8*0.4%)))))))</f>
        <v>0.92</v>
      </c>
      <c r="M53" s="164" t="str">
        <f>IF(COUNTIF(C7,""),"",IF(COUNTIF(K9,"1.*"),(O47)*L53,IF(COUNTIF(K9,"2.*"),(O47)*L53,IF(COUNTIF(K9,"3.*"),(O47)*L53,IF(COUNTIF(K9,"5.*"),(O47)*L53,IF(COUNTIF(K9,"6.*"),(O47)*L53,IF(COUNTIF(K9,"7.*"),(O47)*L53,IF(COUNTIF(K9,"8.*"),(O14+O15)*IF(COUNTIF(J8,"*Younger*"),100%-8%-(I8*0.4%),IF(100%-8%+(I8*0.4%)&gt;100%,100%,100%-8%+(I8*0.4%))),IF(COUNTIF(K9,"4.*"),O14*IF(COUNTIF(J8,"*Younger*"),100%-8%-(I8*0.4%),IF(100%-8%+(I8*0.4%)&gt;100%,100%,100%-8%+(I8*0.4%)))+(O15)*IF(COUNTIF(J8,"*Younger*"),100%-18%-(I8*0.4%),IF(100%-18%+(I8*0.4%)&gt;100%,100%,100%-18%+(I8*0.4%))),IF(COUNTIF(K9,"9.*"),(O47)*L53,""))))))))))</f>
        <v/>
      </c>
      <c r="N53" s="165" t="e">
        <f>IF(COUNTIF(C7,""),"",M53*K52)</f>
        <v>#VALUE!</v>
      </c>
    </row>
    <row r="54" spans="1:17" x14ac:dyDescent="0.25">
      <c r="A54" s="77" t="str">
        <f>IF(COUNTIF(A39,"_"),"",IF(OR(COUNTIF(A39,"1.*"),COUNTIF(A39,"2.*"),COUNTIF(A39,"4.*")),IF(OR(COUNTIF(K9,"1.*"),COUNTIF(K9,"3.*"),COUNTIF(K9,"4.*"),COUNTIF(K9,"6.*")),"AP 1 Early Benefit from 09/01/2011 to 09/30/2014:",""),""))</f>
        <v/>
      </c>
      <c r="D54" s="5" t="str">
        <f>IF(COUNTIF(A39,"_"),"",IF(OR(COUNTIF(A39,"1.*"),COUNTIF(A39,"2.*"),COUNTIF(A39,"4.*")),IF(OR(COUNTIF(K9,"1.*"),COUNTIF(K9,"3.*"),COUNTIF(K9,"4.*"),COUNTIF(K9,"6.*")),D52*D53,""),""))</f>
        <v/>
      </c>
      <c r="E54" s="77" t="str">
        <f>IF(COUNTIF(E39,"_"),"",IF(OR(COUNTIF(E39,"1.*"),COUNTIF(E39,"2.*"),COUNTIF(E39,"4.*")),IF(OR(COUNTIF(K9,"1.*"),COUNTIF(K9,"3.*"),COUNTIF(K9,"4.*"),COUNTIF(K9,"6.*")),"AP 2 Early Benefit from 09/01/2011 to 09/30/2014:",""),""))</f>
        <v/>
      </c>
      <c r="H54" s="5" t="str">
        <f>IF(COUNTIF(E39,"_"),"",IF(OR(COUNTIF(E39,"1.*"),COUNTIF(E39,"2.*"),COUNTIF(E39,"4.*")),IF(OR(COUNTIF(K9,"1.*"),COUNTIF(K9,"3.*"),COUNTIF(K9,"4.*"),COUNTIF(K9,"6.*")),H52*H53,""),""))</f>
        <v/>
      </c>
      <c r="K54" s="162" t="str">
        <f>IF(COUNTIF(C7,""),"","75%")</f>
        <v>75%</v>
      </c>
      <c r="L54" s="163">
        <f>IF(COUNTIF(C7,""),"",IF(COUNTIF(K9,"4.*"),IF(COUNTIF(J8,"*Younger*"),100%-12%-(I8*0.4%),IF(100%-12%+(I8*0.4%)&gt;100%,100%,100%-12%+(I8*0.4%)))*100&amp;"% / "&amp;IF(COUNTIF(J8,"*Younger*"),100%-24%-(I8*0.4%),IF(100%-24%+(I8*0.4%)&gt;100%,100%,100%-24%+(I8*0.4%)))*100&amp;"%",IF(COUNTIF(K9,"6.*"),IF(COUNTIF(J8,"*Younger*"),100%-24%-(I8*0.4%),IF(100%-24%+(I8*0.4%)&gt;100%,100%,100%-24%+(I8*0.4%))),IF(COUNTIF(K9,"8.*"),IF(COUNTIF(J8,"*Younger*"),100%-12%-(I8*0.4%),IF(100%-12%+(I8*0.4%)&gt;100%,100%,100%-12%+(I8*0.4%)))*100&amp;"% / "&amp;IF(COUNTIF(J8,"*Younger*"),100%-24%-(I8*0.4%),IF(100%-24%+(I8*0.4%)&gt;100%,100%,100%-24%+(I8*0.4%)))*100&amp;"%",IF(COUNTIF(J8,"*Younger*"),100%-12%-(I8*0.4%),IF(100%-12%+(I8*0.4%)&gt;100%,100%,100%-12%+(I8*0.4%)))))))</f>
        <v>0.88</v>
      </c>
      <c r="M54" s="164" t="str">
        <f>IF(COUNTIF(C7,""),"",IF(COUNTIF(K9,"1.*"),(O46)*L54,IF(COUNTIF(K9,"2.*"),(O46)*L54,IF(COUNTIF(K9,"3.*"),(O46)*L54,IF(COUNTIF(K9,"5.*"),(O46)*L54,IF(COUNTIF(K9,"6.*"),(O46)*L54,IF(COUNTIF(K9,"7.*"),(O46)*L54,IF(COUNTIF(K9,"8.*"),(O14+O15)*IF(COUNTIF(J8,"*Younger*"),100%-12%-(I8*0.4%),IF(100%-12%+(I8*0.4%)&gt;100%,100%,100%-12%+(I8*0.4%)))+(O16*IF(COUNTIF(J8,"*Younger*"),100%-24%-(I8*0.4%),IF(100%-24%+(I8*0.4%)&gt;100%,100%,100%-24%+(I8*0.4%)))),IF(COUNTIF(K9,"4.*"),O14*IF(COUNTIF(J8,"*Younger*"),100%-12%-(I8*0.4%),IF(100%-12%+(I8*0.4%)&gt;100%,100%,100%-12%+(I8*0.4%)))+(O15+O16)*IF(COUNTIF(J8,"*Younger*"),100%-24%-(I8*0.4%),IF(100%-24%+(I8*0.4%)&gt;100%,100%,100%-24%+(I8*0.4%))),IF(COUNTIF(K9,"9.*"),(O46)*L54,""))))))))))</f>
        <v/>
      </c>
      <c r="N54" s="165" t="e">
        <f>IF(COUNTIF(C7,""),"",M54*K54)</f>
        <v>#VALUE!</v>
      </c>
    </row>
    <row r="55" spans="1:17" x14ac:dyDescent="0.25">
      <c r="A55" s="77" t="str">
        <f>IF(COUNTIF(A39,"_"),"",IF(OR(COUNTIF(A39,"1.*"),COUNTIF(A39,"2.*"),COUNTIF(A39,"4.*")),"AP 1 Full Benefit After 10/01/2014:",""))</f>
        <v>AP 1 Full Benefit After 10/01/2014:</v>
      </c>
      <c r="D55" s="5">
        <f>IF(OR(COUNTIF(A39,"_"),COUNTIF(A39,"3.*")),"",IF(COUNTIF(A39,"1.*"),I30,IF(OR(COUNTIF(A39,"2.*"),COUNTIF(A39,"4.*")),IF(COUNTIF(K9,"2.*"),"",O16*D48))))</f>
        <v>19.614463959999998</v>
      </c>
      <c r="E55" s="77" t="str">
        <f>IF(COUNTIF(E39,"_"),"",IF(OR(COUNTIF(E39,"1.*"),COUNTIF(E39,"2.*"),COUNTIF(E39,"4.*")),"AP 2 Full Benefit After 10/01/2014:",""))</f>
        <v/>
      </c>
      <c r="H55" s="5" t="str">
        <f>IF(COUNTIF(E39,"_"),"",IF(OR(COUNTIF(E39,"2.*"),COUNTIF(E39,"4.*")),O16*H48,IF(COUNTIF(E39,"1.*"),J30,"")))</f>
        <v/>
      </c>
      <c r="K55" s="166" t="str">
        <f>IF(COUNTIF(C7,""),"","13th Check")</f>
        <v>13th Check</v>
      </c>
      <c r="L55" s="163">
        <f>IF(COUNTIF(C7,""),"",IF(COUNTIF(K9,"4.*"),IF(COUNTIF(J8,"*Younger*"),100%-12%-(I8*0.4%),IF(100%-12%+(I8*0.4%)&gt;100%,100%,100%-12%+(I8*0.4%)))*100&amp;"% / "&amp;IF(COUNTIF(J8,"*Younger*"),100%-24%-(I8*0.4%),IF(100%-24%+(I8*0.4%)&gt;100%,100%,100%-24%+(I8*0.4%)))*100&amp;"%",IF(COUNTIF(K9,"6.*"),IF(COUNTIF(J8,"*Younger*"),100%-24%-(I8*0.4%),IF(100%-24%+(I8*0.4%)&gt;100%,100%,100%-24%+(I8*0.4%))),IF(COUNTIF(K9,"8.*"),IF(COUNTIF(J8,"*Younger*"),100%-12%-(I8*0.4%),IF(100%-12%+(I8*0.4%)&gt;100%,100%,100%-12%+(I8*0.4%)))*100&amp;"% / "&amp;IF(COUNTIF(J8,"*Younger*"),100%-24%-(I8*0.4%),IF(100%-24%+(I8*0.4%)&gt;100%,100%,100%-24%+(I8*0.4%)))*100&amp;"%",IF(COUNTIF(J8,"*Younger*"),100%-12%-(I8*0.4%),IF(100%-12%+(I8*0.4%)&gt;100%,100%,100%-12%+(I8*0.4%)))))))</f>
        <v>0.88</v>
      </c>
      <c r="M55" s="164" t="str">
        <f>IF(COUNTIF(C7,""),"",IF(COUNTIF(K9,"1.*"),(O47)*L55,IF(COUNTIF(K9,"2.*"),(O47)*L55,IF(COUNTIF(K9,"3.*"),(O47)*L55,IF(COUNTIF(K9,"5.*"),(O47)*L55,IF(COUNTIF(K9,"6.*"),(O47)*L55,IF(COUNTIF(K9,"7.*"),(O47)*L55,IF(COUNTIF(K9,"8.*"),(O14+O15)*IF(COUNTIF(J8,"*Younger*"),100%-12%-(I8*0.4%),IF(100%-12%+(I8*0.4%)&gt;100%,100%,100%-12%+(I8*0.4%))),IF(COUNTIF(K9,"4.*"),O14*IF(COUNTIF(J8,"*Younger*"),100%-12%-(I8*0.4%),IF(100%-12%+(I8*0.4%)&gt;100%,100%,100%-12%+(I8*0.4%)))+(O15)*IF(COUNTIF(J8,"*Younger*"),100%-24%-(I8*0.4%),IF(100%-24%+(I8*0.4%)&gt;100%,100%,100%-24%+(I8*0.4%))),IF(COUNTIF(K9,"9.*"),(O47)*L55,""))))))))))</f>
        <v/>
      </c>
      <c r="N55" s="165" t="e">
        <f>IF(COUNTIF(C7,""),"",M55*K54)</f>
        <v>#VALUE!</v>
      </c>
    </row>
    <row r="56" spans="1:17" x14ac:dyDescent="0.25">
      <c r="A56" s="77" t="str">
        <f>IF(COUNTIF(A39,"_"),"",IF(OR(COUNTIF(A39,"1.*"),COUNTIF(A39,"2.*"),COUNTIF(A39,"4.*")),IF(OR(COUNTIF(K9,"1.*"),COUNTIF(K9,"3.*"),COUNTIF(K9,"4.*"),COUNTIF(K9,"6.*"),COUNTIF(K9,"7.*"),COUNTIF(K9,"8.*")),"AP 1 Early Retirement Factor:",""),""))</f>
        <v/>
      </c>
      <c r="D56" s="113" t="str">
        <f>IF(OR(COUNTIF(A39,"1.*"),COUNTIF(A39,"2.*"),COUNTIF(A39,"4.*")),IF(OR(COUNTIF(K9,"1.*"),COUNTIF(K9,"3.*"),COUNTIF(K9,"4.*"),COUNTIF(K9,"6.*"),COUNTIF(K9,"7.*"),COUNTIF(K9,"8.*")),IF(DATEDIF(C3,C5,"m")&lt;=600,(DATEDIF(C3,C5,"m")-540)*0.1%+22%,IF(DATEDIF(C3,C5,"m")&lt;=660,(DATEDIF(C3,C5,"m")-600)*0.2%+28%,IF((DATEDIF(C3,C5,"m")-660)*0.5%+40%&gt;=100%,100%,(DATEDIF(C3,C5,"m")-660)*0.5%+40%))),""),"")</f>
        <v/>
      </c>
      <c r="E56" s="77" t="str">
        <f>IF(COUNTIF(E39,"_"),"",IF(OR(COUNTIF(E39,"1.*"),COUNTIF(E39,"2.*"),COUNTIF(E39,"4.*")),IF(OR(COUNTIF(K9,"1.*"),COUNTIF(K9,"3.*"),COUNTIF(K9,"4.*"),COUNTIF(K9,"6.*"),COUNTIF(K9,"7.*"),COUNTIF(K9,"8.*")),"AP 2 Early Retirement Factor:",""),""))</f>
        <v/>
      </c>
      <c r="H56" s="113" t="str">
        <f>IF(OR(COUNTIF(E39,"1.*"),COUNTIF(E39,"2.*"),COUNTIF(E39,"4.*")),IF(OR(COUNTIF(K9,"1.*"),COUNTIF(K9,"3.*"),COUNTIF(K9,"4.*"),COUNTIF(K9,"6.*"),COUNTIF(K9,"7.*"),COUNTIF(K9,"8.*")),IF(DATEDIF(C3,C5,"m")&lt;=600,(DATEDIF(C3,C5,"m")-540)*0.1%+22%,IF(DATEDIF(C3,C5,"m")&lt;=660,(DATEDIF(C3,C5,"m")-600)*0.2%+28%,IF((DATEDIF(C3,C5,"m")-660)*0.5%+40%&gt;=100%,100%,(DATEDIF(C3,C5,"m")-660)*0.5%+40%))),""),"")</f>
        <v/>
      </c>
      <c r="K56" s="162" t="str">
        <f>IF(COUNTIF(C7,""),"","100%")</f>
        <v>100%</v>
      </c>
      <c r="L56" s="163">
        <f>IF(COUNTIF(C7,""),"",IF(COUNTIF(K9,"4.*"),IF(COUNTIF(J8,"*Younger*"),100%-15%-(I8*0.5%),IF(100%-15%+(I8*0.5%)&gt;100%,100%,100%-15%+(I8*0.5%)))*100&amp;"% / "&amp;IF(COUNTIF(J8,"*Younger*"),100%-30%-(I8*0.5%),IF(100%-30%+(I8*0.5%)&gt;100%,100%,100%-30%+(I8*0.5%)))*100&amp;"%",IF(COUNTIF(K9,"6.*"),IF(COUNTIF(J8,"*Younger*"),100%-30%-(I8*0.5%),IF(100%-30%+(I8*0.5%)&gt;100%,100%,100%-30%+(I8*0.5%))),IF(COUNTIF(K9,"8.*"),IF(COUNTIF(J8,"*Younger*"),100%-15%-(I8*0.5%),IF(100%-15%+(I8*0.5%)&gt;100%,100%,100%-15%+(I8*0.5%)))*100&amp;"% / "&amp;IF(COUNTIF(J8,"*Younger*"),100%-30%-(I8*0.5%),IF(100%-30%+(I8*0.5%)&gt;100%,100%,100%-30%+(I8*0.5%)))*100&amp;"%",IF(COUNTIF(J8,"*Younger*"),100%-15%-(I8*0.5%),IF(100%-15%+(I8*0.5%)&gt;100%,100%,100%-15%+(I8*0.5%)))))))</f>
        <v>0.85</v>
      </c>
      <c r="M56" s="164" t="str">
        <f>IF(COUNTIF(C7,""),"",IF(COUNTIF(K9,"1.*"),(O46)*L56,IF(COUNTIF(K9,"2.*"),(O46)*L56,IF(COUNTIF(K9,"3.*"),(O46)*L56,IF(COUNTIF(K9,"5.*"),(O46)*L56,IF(COUNTIF(K9,"6.*"),(O46)*L56,IF(COUNTIF(K9,"7.*"),(O46)*L56,IF(COUNTIF(K9,"8.*"),(O14+O15)*IF(COUNTIF(J8,"*Younger*"),100%-15%-(I8*0.5%),IF(100%-15%+(I8*0.5%)&gt;100%,100%,100%-15%+(I8*0.5%)))+(O16*IF(COUNTIF(J8,"*Younger*"),100%-30%-(I8*0.5%),IF(100%-30%+(I8*0.5%)&gt;100%,100%,100%-30%+(I8*0.5%)))),IF(COUNTIF(K9,"4.*"),O14*IF(COUNTIF(J8,"*Younger*"),100%-15%-(I8*0.5%),IF(100%-15%+(I8*0.5%)&gt;100%,100%,100%-15%+(I8*0.5%)))+(O15+O16)*IF(COUNTIF(J8,"*Younger*"),100%-30%-(I8*0.5%),IF(100%-30%+(I8*0.5%)&gt;100%,100%,100%-30%+(I8*0.5%))),IF(COUNTIF(K9,"9.*"),(O46)*L56,""))))))))))</f>
        <v/>
      </c>
      <c r="N56" s="165" t="e">
        <f>IF(COUNTIF(C7,""),"",M56*K56)</f>
        <v>#VALUE!</v>
      </c>
    </row>
    <row r="57" spans="1:17" ht="14.25" thickBot="1" x14ac:dyDescent="0.3">
      <c r="A57" s="77" t="str">
        <f>IF(COUNTIF(A39,"_"),"",IF(OR(COUNTIF(A39,"1.*"),COUNTIF(A39,"2.*"),COUNTIF(A39,"4.*")),IF(OR(COUNTIF(K9,"1.*"),COUNTIF(K9,"3.*"),COUNTIF(K9,"4.*"),COUNTIF(K9,"6.*"),COUNTIF(K9,"7.*"),COUNTIF(K9,"8.*")),"AP 1 Early Benefit on and after 10/01/2014:",""),""))</f>
        <v/>
      </c>
      <c r="D57" s="5" t="str">
        <f>IF(OR(COUNTIF(A39,"1.*"),COUNTIF(A39,"2.*"),COUNTIF(A39,"4.*")),IF(OR(COUNTIF(K9,"1.*"),COUNTIF(K9,"3.*"),COUNTIF(K9,"4.*"),COUNTIF(K9,"6.*"),COUNTIF(K9,"7.*"),COUNTIF(K9,"8.*")),D55*D56,""),"")</f>
        <v/>
      </c>
      <c r="E57" s="77" t="str">
        <f>IF(COUNTIF(E39,"_"),"",IF(OR(COUNTIF(E39,"1.*"),COUNTIF(E39,"2.*"),COUNTIF(E39,"4.*")),IF(OR(COUNTIF(K9,"1.*"),COUNTIF(K9,"3.*"),COUNTIF(K9,"4.*"),COUNTIF(K9,"6.*"),COUNTIF(K9,"7.*"),COUNTIF(K9,"8.*")),"AP 2 Early Benefit on and after 10/01/2014:",""),""))</f>
        <v/>
      </c>
      <c r="H57" s="5" t="str">
        <f>IF(OR(COUNTIF(E39,"1.*"),COUNTIF(E39,"2.*"),COUNTIF(E39,"4.*")),IF(OR(COUNTIF(K9,"1.*"),COUNTIF(K9,"3.*"),COUNTIF(K9,"4.*"),COUNTIF(K9,"6.*"),COUNTIF(K9,"7.*"),COUNTIF(K9,"8.*")),H55*H56,""),"")</f>
        <v/>
      </c>
      <c r="K57" s="167" t="str">
        <f>IF(COUNTIF(C7,""),"","13th Check")</f>
        <v>13th Check</v>
      </c>
      <c r="L57" s="168">
        <f>IF(COUNTIF(C7,""),"",IF(COUNTIF(K9,"4.*"),IF(COUNTIF(J8,"*Younger*"),100%-15%-(I8*0.5%),IF(100%-15%+(I8*0.5%)&gt;100%,100%,100%-15%+(I8*0.5%)))*100&amp;"% / "&amp;IF(COUNTIF(J8,"*Younger*"),100%-30%-(I8*0.5%),IF(100%-30%+(I8*0.5%)&gt;100%,100%,100%-30%+(I8*0.5%)))*100&amp;"%",IF(COUNTIF(K9,"6.*"),IF(COUNTIF(J8,"*Younger*"),100%-30%-(I8*0.5%),IF(100%-30%+(I8*0.5%)&gt;100%,100%,100%-30%+(I8*0.5%))),IF(COUNTIF(K9,"8.*"),IF(COUNTIF(J8,"*Younger*"),100%-15%-(I8*0.5%),IF(100%-15%+(I8*0.5%)&gt;100%,100%,100%-15%+(I8*0.5%)))*100&amp;"% / "&amp;IF(COUNTIF(J8,"*Younger*"),100%-30%-(I8*0.5%),IF(100%-30%+(I8*0.5%)&gt;100%,100%,100%-30%+(I8*0.5%)))*100&amp;"%",IF(COUNTIF(J8,"*Younger*"),100%-15%-(I8*0.5%),IF(100%-15%+(I8*0.5%)&gt;100%,100%,100%-15%+(I8*0.5%)))))))</f>
        <v>0.85</v>
      </c>
      <c r="M57" s="169" t="str">
        <f>IF(COUNTIF(C7,""),"",IF(COUNTIF(K9,"1.*"),(O47)*L57,IF(COUNTIF(K9,"2.*"),(O47)*L57,IF(COUNTIF(K9,"3.*"),(O47)*L57,IF(COUNTIF(K9,"5.*"),(O47)*L57,IF(COUNTIF(K9,"6.*"),(O47)*L57,IF(COUNTIF(K9,"7.*"),(O47)*L57,IF(COUNTIF(K9,"8.*"),(O14+O15)*IF(COUNTIF(J8,"*Younger*"),100%-15%-(I8*0.5%),IF(100%-15%+(I8*0.5%)&gt;100%,100%,100%-15%+(I8*0.5%))),IF(COUNTIF(K9,"4.*"),O14*IF(COUNTIF(J8,"*Younger*"),100%-15%-(I8*0.5%),IF(100%-15%+(I8*0.5%)&gt;100%,100%,100%-15%+(I8*0.5%)))+(O15)*IF(COUNTIF(J8,"*Younger*"),100%-30%-(I8*0.5%),IF(100%-30%+(I8*0.5%)&gt;100%,100%,100%-30%+(I8*0.5%))),IF(COUNTIF(K9,"9.*"),(O47)*L57,""))))))))))</f>
        <v/>
      </c>
      <c r="N57" s="170" t="e">
        <f>IF(COUNTIF(C7,""),"",M57*K56)</f>
        <v>#VALUE!</v>
      </c>
    </row>
    <row r="58" spans="1:17" ht="14.25" thickBot="1" x14ac:dyDescent="0.3">
      <c r="A58" s="77" t="str">
        <f>IF(COUNTIF(A39,"_"),"",IF(OR(COUNTIF(A39,"1.*"),COUNTIF(A39,"2.*"),COUNTIF(A39,"4.*")),"AP 1 Total Monthly Benefit:",""))</f>
        <v>AP 1 Total Monthly Benefit:</v>
      </c>
      <c r="D58" s="5">
        <f>IF(COUNTIF(A39,"_"),"",IF(OR(COUNTIF(A39,"1.*"),COUNTIF(A39,"2.*"),COUNTIF(A39,"4.*")),IF(OR(COUNTIF(K9,"1.*"),COUNTIF(K9,"6.*")),SUM(D51,D54,D57),IF(OR(COUNTIF(K9,"3.*"),COUNTIF(K9,"4.*"),COUNTIF(K9,"6.*")),SUM(D49,D54,D57),IF(OR(COUNTIF(K9,"7.*"),COUNTIF(K9,"8.*")),SUM(D49,D52,D57),SUM(D49,D52,D55)))),""))</f>
        <v>372.86777189999992</v>
      </c>
      <c r="E58" s="77" t="str">
        <f>IF(COUNTIF(E39,"_"),"",IF(OR(COUNTIF(E39,"1.*"),COUNTIF(E39,"2.*"),COUNTIF(E39,"4.*")),"AP 2 Total Monthly Benefit:",""))</f>
        <v/>
      </c>
      <c r="H58" s="5" t="str">
        <f>IF(COUNTIF(E39,"_"),"",IF(OR(COUNTIF(E39,"1.*"),COUNTIF(E39,"2.*"),COUNTIF(E39,"4.*")),IF(OR(COUNTIF(K9,"1.*"),COUNTIF(K9,"6.*")),SUM(H51,H54,H57),IF(OR(COUNTIF(K9,"3.*"),COUNTIF(K9,"4.*"),COUNTIF(K9,"6.*")),SUM(H49,H54,H57),IF(OR(COUNTIF(K9,"7.*"),COUNTIF(K9,"8.*")),SUM(H49,H52,H57),SUM(H49,H52,H55)))),""))</f>
        <v/>
      </c>
      <c r="K58" s="540" t="str">
        <f>IF(COUNTIF(C7,""),"",IF(OR(COUNTIF(K9,"1.*"),COUNTIF(K9,"3.*"),COUNTIF(K9,"7.*")),"Pension Benefit Deferred at Age 65 H&amp;W Options",IF(COUNTIF(K9,"10.*"),"Delayed Retirement 2 H&amp;W Options","")))</f>
        <v>Delayed Retirement 2 H&amp;W Options</v>
      </c>
      <c r="L58" s="541"/>
      <c r="M58" s="541"/>
      <c r="N58" s="542"/>
    </row>
    <row r="59" spans="1:17" ht="14.25" thickBot="1" x14ac:dyDescent="0.3">
      <c r="A59" s="139" t="str">
        <f>IF(COUNTIF(A39,"_"),"",IF(OR(COUNTIF(A39,"1.*"),COUNTIF(A39,"2.*"),COUNTIF(A39,"4.*")),"AP 1 13th Check:",""))</f>
        <v>AP 1 13th Check:</v>
      </c>
      <c r="B59" s="19"/>
      <c r="C59" s="19"/>
      <c r="D59" s="85">
        <f>IF(OR(COUNTIF(A39,"_"),COUNTIF(A39,"3.*")),"",IF(OR(COUNTIF(A39,"1.*"),COUNTIF(A39,"2.*"),COUNTIF(A39,"4.*")),IF(OR(COUNTIF(K9,"1.*"),COUNTIF(K9,"6.*")),ROUNDDOWN(D51+D54,2),IF(OR(COUNTIF(K9,"3.*"),COUNTIF(K9,"4.*"),COUNTIF(K9,"6.*")),SUM(D49,D54),IF(OR(COUNTIF(K9,"7.*"),COUNTIF(K9,"8.*")),ROUNDDOWN(D49+D52,2),ROUNDDOWN(D49+D52,2))))))</f>
        <v>353.25</v>
      </c>
      <c r="E59" s="139" t="str">
        <f>IF(COUNTIF(E39,"_"),"",IF(OR(COUNTIF(E39,"1.*"),COUNTIF(E39,"2.*"),COUNTIF(E39,"4.*")),"AP 2 13th Check:",""))</f>
        <v/>
      </c>
      <c r="F59" s="19"/>
      <c r="G59" s="19"/>
      <c r="H59" s="85" t="str">
        <f>IF(OR(COUNTIF(E39,"_"),COUNTIF(E39,"3.*")),"",IF(OR(COUNTIF(E39,"1.*"),COUNTIF(E39,"2.*"),COUNTIF(E39,"4.*")),IF(OR(COUNTIF(K9,"1.*"),COUNTIF(K9,"6.*")),SUM(H51,H54),IF(OR(COUNTIF(K9,"3.*"),COUNTIF(K9,"4.*"),COUNTIF(K9,"6.*")),SUM(H49,H54),IF(OR(COUNTIF(K9,"7.*"),COUNTIF(K9,"8.*")),SUM(H49,H52),SUM(H49,H52))))))</f>
        <v/>
      </c>
      <c r="K59" s="11" t="str">
        <f>IF(COUNTIF(C7,""),"",IF(OR(COUNTIF(K9,"1.*"),COUNTIF(K9,"3.*"),COUNTIF(K9,"7.*"),COUNTIF(K9,"10.*")),"Option",""))</f>
        <v>Option</v>
      </c>
      <c r="L59" s="80" t="str">
        <f>IF(COUNTIF(C7,""),"",IF(OR(COUNTIF(K9,"1.*"),COUNTIF(K9,"3.*"),COUNTIF(K9,"7.*"),COUNTIF(K9,"10.*")),"Factor",""))</f>
        <v>Factor</v>
      </c>
      <c r="M59" s="80" t="str">
        <f>IF(COUNTIF(C7,""),"",IF(OR(COUNTIF(K9,"1.*"),COUNTIF(K9,"3.*"),COUNTIF(K9,"7.*"),COUNTIF(K9,"10.*")),"Member Benefit",""))</f>
        <v>Member Benefit</v>
      </c>
      <c r="N59" s="103" t="str">
        <f>IF(COUNTIF(C7,""),"",IF(OR(COUNTIF(K9,"1.*"),COUNTIF(K9,"3.*"),COUNTIF(K9,"7.*"),COUNTIF(K9,"10.*")),"Spouse Benefit",""))</f>
        <v>Spouse Benefit</v>
      </c>
    </row>
    <row r="60" spans="1:17" x14ac:dyDescent="0.25">
      <c r="K60" s="162" t="str">
        <f>IF(COUNTIF(C7,""),"",IF(OR(COUNTIF(K9,"1.*"),COUNTIF(K9,"3.*"),COUNTIF(K9,"7.*"),COUNTIF(K9,"10.*")),"50%",""))</f>
        <v>50%</v>
      </c>
      <c r="L60" s="163">
        <f>IF(COUNTIF(C7,""),"",IF(OR(COUNTIF(K9,"1.*"),COUNTIF(K9,"3.*"),COUNTIF(K9,"7.*"),COUNTIF(K9,"10.*")),IF(COUNTIF(J8,"*Younger*"),100%-8%-(I8*0.4%),IF(100%-8%+(I8*0.4%)&gt;100%,100%,100%-8%+(I8*0.4%))),""))</f>
        <v>0.92</v>
      </c>
      <c r="M60" s="164" t="e">
        <f>IF(COUNTIF(C7,""),"",IF(OR(COUNTIF(K9,"1.*"),COUNTIF(K9,"3.*"),COUNTIF(K9,"7.*"),COUNTIF(K9,"10.*")),(O48)*L60,""))</f>
        <v>#VALUE!</v>
      </c>
      <c r="N60" s="165" t="e">
        <f>IF(COUNTIF(C7,""),"",IF(OR(COUNTIF(K9,"1.*"),COUNTIF(K9,"3.*"),COUNTIF(K9,"7.*"),COUNTIF(K9,"10.*")),M60*K60,""))</f>
        <v>#VALUE!</v>
      </c>
    </row>
    <row r="61" spans="1:17" x14ac:dyDescent="0.25">
      <c r="K61" s="166" t="str">
        <f>IF(COUNTIF(C7,""),"",IF(OR(COUNTIF(K9,"1.*"),COUNTIF(K9,"3.*"),COUNTIF(K9,"7.*"),COUNTIF(K9,"10.*")),"13th Check",""))</f>
        <v>13th Check</v>
      </c>
      <c r="L61" s="163">
        <f>IF(COUNTIF(C7,""),"",IF(OR(COUNTIF(K9,"1.*"),COUNTIF(K9,"3.*"),COUNTIF(K9,"7.*"),COUNTIF(K9,"10.*")),IF(COUNTIF(J8,"*Younger*"),100%-8%-(I8*0.4%),IF(100%-8%+(I8*0.4%)&gt;100%,100%,100%-8%+(I8*0.4%))),""))</f>
        <v>0.92</v>
      </c>
      <c r="M61" s="164" t="e">
        <f>IF(COUNTIF(C7,""),"",IF(OR(COUNTIF(K9,"1.*"),COUNTIF(K9,"3.*"),COUNTIF(K9,"7.*"),COUNTIF(K9,"10.*")),(O49)*L61,""))</f>
        <v>#VALUE!</v>
      </c>
      <c r="N61" s="165" t="e">
        <f>IF(COUNTIF(C7,""),"",IF(OR(COUNTIF(K9,"1.*"),COUNTIF(K9,"3.*"),COUNTIF(K9,"7.*"),COUNTIF(K9,"10.*")),M61*K60,""))</f>
        <v>#VALUE!</v>
      </c>
    </row>
    <row r="62" spans="1:17" x14ac:dyDescent="0.25">
      <c r="K62" s="166" t="str">
        <f>IF(COUNTIF(C7,""),"",IF(OR(COUNTIF(K9,"1.*"),COUNTIF(K9,"3.*"),COUNTIF(K9,"7.*"),COUNTIF(K9,"10.*")),"75%",""))</f>
        <v>75%</v>
      </c>
      <c r="L62" s="171">
        <f>IF(COUNTIF(C7,""),"",IF(OR(COUNTIF(K9,"1.*"),COUNTIF(K9,"3.*"),COUNTIF(K9,"7.*"),COUNTIF(K9,"10.*")),IF(COUNTIF(J8,"*Younger*"),100%-12%-(I8*0.4%),IF(100%-12%+(I8*0.4%)&gt;100%,100%,100%-12%+(I8*0.4%))),""))</f>
        <v>0.88</v>
      </c>
      <c r="M62" s="164" t="e">
        <f>IF(COUNTIF(C7,""),"",IF(OR(COUNTIF(K9,"1.*"),COUNTIF(K9,"3.*"),COUNTIF(K9,"7.*"),COUNTIF(K9,"10.*")),(O48)*L62,""))</f>
        <v>#VALUE!</v>
      </c>
      <c r="N62" s="165" t="e">
        <f>IF(COUNTIF(C7,""),"",IF(OR(COUNTIF(K9,"1.*"),COUNTIF(K9,"3.*"),COUNTIF(K9,"7.*"),COUNTIF(K9,"10.*")),M62*K62,""))</f>
        <v>#VALUE!</v>
      </c>
    </row>
    <row r="63" spans="1:17" x14ac:dyDescent="0.25">
      <c r="K63" s="162" t="str">
        <f>IF(COUNTIF(C7,""),"",IF(OR(COUNTIF(K9,"1.*"),COUNTIF(K9,"3.*"),COUNTIF(K9,"7.*"),COUNTIF(K9,"10.*")),"13th Check",""))</f>
        <v>13th Check</v>
      </c>
      <c r="L63" s="163">
        <f>IF(COUNTIF(C7,""),"",IF(OR(COUNTIF(K9,"1.*"),COUNTIF(K9,"3.*"),COUNTIF(K9,"7.*"),COUNTIF(K9,"10.*")),IF(COUNTIF(J8,"*Younger*"),100%-12%-(I8*0.4%),IF(100%-12%+(I8*0.4%)&gt;100%,100%,100%-12%+(I8*0.4%))),""))</f>
        <v>0.88</v>
      </c>
      <c r="M63" s="164" t="e">
        <f>IF(COUNTIF(C7,""),"",IF(OR(COUNTIF(K9,"1.*"),COUNTIF(K9,"3.*"),COUNTIF(K9,"7.*"),COUNTIF(K9,"10.*")),(O49)*L63,""))</f>
        <v>#VALUE!</v>
      </c>
      <c r="N63" s="165" t="e">
        <f>IF(COUNTIF(C7,""),"",IF(OR(COUNTIF(K9,"1.*"),COUNTIF(K9,"3.*"),COUNTIF(K9,"7.*"),COUNTIF(K9,"10.*")),M63*K62,""))</f>
        <v>#VALUE!</v>
      </c>
    </row>
    <row r="64" spans="1:17" x14ac:dyDescent="0.25">
      <c r="K64" s="166" t="str">
        <f>IF(COUNTIF(C7,""),"",IF(OR(COUNTIF(K9,"1.*"),COUNTIF(K9,"3.*"),COUNTIF(K9,"7.*"),COUNTIF(K9,"10.*")),"100%",""))</f>
        <v>100%</v>
      </c>
      <c r="L64" s="163">
        <f>IF(COUNTIF(C7,""),"",IF(OR(COUNTIF(K9,"1.*"),COUNTIF(K9,"3.*"),COUNTIF(K9,"7.*"),COUNTIF(K9,"10.*")),IF(COUNTIF(J8,"*Younger*"),100%-15%-(I8*0.5%),IF(100%-15%+(I8*0.5%)&gt;100%,100%,100%-15%+(I8*0.5%))),""))</f>
        <v>0.85</v>
      </c>
      <c r="M64" s="164" t="e">
        <f>IF(COUNTIF(C7,""),"",IF(OR(COUNTIF(K9,"1.*"),COUNTIF(K9,"3.*"),COUNTIF(K9,"7.*"),COUNTIF(K9,"10.*")),(O48)*L64,""))</f>
        <v>#VALUE!</v>
      </c>
      <c r="N64" s="165" t="e">
        <f>IF(COUNTIF(C7,""),"",IF(OR(COUNTIF(K9,"1.*"),COUNTIF(K9,"3.*"),COUNTIF(K9,"7.*"),COUNTIF(K9,"10.*")),M64*K64,""))</f>
        <v>#VALUE!</v>
      </c>
    </row>
    <row r="65" spans="11:14" ht="14.25" thickBot="1" x14ac:dyDescent="0.3">
      <c r="K65" s="172" t="str">
        <f>IF(COUNTIF(C7,""),"",IF(OR(COUNTIF(K9,"1.*"),COUNTIF(K9,"3.*"),COUNTIF(K9,"7.*"),COUNTIF(K9,"10.*")),"13th Check",""))</f>
        <v>13th Check</v>
      </c>
      <c r="L65" s="168">
        <f>IF(COUNTIF(C7,""),"",IF(OR(COUNTIF(K9,"1.*"),COUNTIF(K9,"3.*"),COUNTIF(K9,"7.*"),COUNTIF(K9,"10.*")),IF(COUNTIF(J8,"*Younger*"),100%-15%-(I8*0.5%),IF(100%-15%+(I8*0.5%)&gt;100%,100%,100%-15%+(I8*0.5%))),""))</f>
        <v>0.85</v>
      </c>
      <c r="M65" s="169" t="e">
        <f>IF(COUNTIF(C7,""),"",IF(OR(COUNTIF(K9,"1.*"),COUNTIF(K9,"3.*"),COUNTIF(K9,"7.*"),COUNTIF(K9,"10.*")),(O49)*L65,""))</f>
        <v>#VALUE!</v>
      </c>
      <c r="N65" s="170" t="e">
        <f>IF(COUNTIF(C7,""),"",IF(OR(COUNTIF(K9,"1.*"),COUNTIF(K9,"3.*"),COUNTIF(K9,"7.*"),COUNTIF(K9,"10.*")),M65*K64,""))</f>
        <v>#VALUE!</v>
      </c>
    </row>
  </sheetData>
  <mergeCells count="16">
    <mergeCell ref="K50:N50"/>
    <mergeCell ref="K58:N58"/>
    <mergeCell ref="G2:H2"/>
    <mergeCell ref="F8:H8"/>
    <mergeCell ref="K9:O9"/>
    <mergeCell ref="K10:O10"/>
    <mergeCell ref="E41:H41"/>
    <mergeCell ref="A41:D41"/>
    <mergeCell ref="A1:O1"/>
    <mergeCell ref="A9:J9"/>
    <mergeCell ref="A19:J19"/>
    <mergeCell ref="A23:J23"/>
    <mergeCell ref="A39:D39"/>
    <mergeCell ref="E39:H39"/>
    <mergeCell ref="A32:J32"/>
    <mergeCell ref="C6:D6"/>
  </mergeCells>
  <conditionalFormatting sqref="K28:O29">
    <cfRule type="expression" dxfId="0" priority="1" stopIfTrue="1">
      <formula>COUNTIF(K9,"10.*")</formula>
    </cfRule>
  </conditionalFormatting>
  <dataValidations count="2">
    <dataValidation type="list" allowBlank="1" showInputMessage="1" showErrorMessage="1" promptTitle="Pension Type" sqref="K9:O9" xr:uid="{3D45B958-0D22-47BE-9583-84FBFB1399A1}">
      <formula1>"1. Early Retirement, 2. Regular at 62, 3. Regular at 62 &amp; Early, 4. Regular at 62 &amp; Disability, 5. Regular at 65, 6. Disability, 7. Service Pre-Age 55 &amp; Early, 8. Service Pre-Age 55 &amp; Disability, 9. Service Pension, 10. Delayed Pension"</formula1>
    </dataValidation>
    <dataValidation type="list" allowBlank="1" showInputMessage="1" showErrorMessage="1" sqref="A39:A40 E39:E40" xr:uid="{F3E68373-73E1-45E7-BE62-A882314929C3}">
      <formula1>"_,1. % Earned During Marriage,2. Brown Formula,3. AP in Pay Status, 4. QDRO by Months"</formula1>
    </dataValidation>
  </dataValidations>
  <pageMargins left="0.1" right="0.1" top="0.1" bottom="0.1" header="0.3" footer="0.3"/>
  <pageSetup scale="74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12E1E-3151-4941-9393-1AC149929673}">
  <sheetPr>
    <pageSetUpPr fitToPage="1"/>
  </sheetPr>
  <dimension ref="A1:M43"/>
  <sheetViews>
    <sheetView zoomScaleNormal="100" workbookViewId="0">
      <selection activeCell="D3" sqref="D3"/>
    </sheetView>
  </sheetViews>
  <sheetFormatPr defaultColWidth="9.140625" defaultRowHeight="13.5" x14ac:dyDescent="0.25"/>
  <cols>
    <col min="1" max="1" width="10.42578125" style="1" bestFit="1" customWidth="1"/>
    <col min="2" max="2" width="12" style="1" customWidth="1"/>
    <col min="3" max="3" width="9.42578125" style="1" customWidth="1"/>
    <col min="4" max="4" width="10.5703125" style="1" customWidth="1"/>
    <col min="5" max="5" width="10.7109375" style="1" customWidth="1"/>
    <col min="6" max="6" width="9.140625" style="1"/>
    <col min="7" max="7" width="10.7109375" style="1" customWidth="1"/>
    <col min="8" max="8" width="15.5703125" style="1" customWidth="1"/>
    <col min="9" max="9" width="10" style="1" customWidth="1"/>
    <col min="10" max="10" width="11.28515625" style="1" customWidth="1"/>
    <col min="11" max="11" width="6.85546875" style="1" bestFit="1" customWidth="1"/>
    <col min="12" max="12" width="13" style="1" bestFit="1" customWidth="1"/>
    <col min="13" max="13" width="12.42578125" style="1" customWidth="1"/>
    <col min="14" max="16384" width="9.140625" style="1"/>
  </cols>
  <sheetData>
    <row r="1" spans="1:13" ht="15" customHeight="1" x14ac:dyDescent="0.25">
      <c r="A1" s="531" t="s">
        <v>73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</row>
    <row r="2" spans="1:13" ht="15" customHeight="1" x14ac:dyDescent="0.25">
      <c r="A2" s="546" t="s">
        <v>1</v>
      </c>
      <c r="B2" s="546"/>
      <c r="C2" s="546"/>
      <c r="D2" s="667" t="str">
        <f>'Pension Calculator'!C2</f>
        <v>Rigoberto Pimentel</v>
      </c>
      <c r="E2" s="667"/>
      <c r="F2" s="667"/>
      <c r="I2" s="1" t="s">
        <v>0</v>
      </c>
      <c r="J2" s="666" t="str">
        <f>'Pension Calculator'!I2</f>
        <v>320395X00</v>
      </c>
      <c r="K2" s="666"/>
    </row>
    <row r="3" spans="1:13" ht="15" customHeight="1" x14ac:dyDescent="0.25">
      <c r="A3" s="546" t="s">
        <v>6</v>
      </c>
      <c r="B3" s="546"/>
      <c r="C3" s="546"/>
      <c r="D3" s="14">
        <f>'Pension Calculator'!C3</f>
        <v>23105</v>
      </c>
    </row>
    <row r="4" spans="1:13" ht="15" customHeight="1" x14ac:dyDescent="0.25">
      <c r="A4" s="546" t="s">
        <v>2</v>
      </c>
      <c r="B4" s="546"/>
      <c r="C4" s="546"/>
      <c r="D4" s="20" t="str">
        <f>DATEDIF(D3,D5,"y")&amp;"/"&amp;(DATEDIF(D3,D5, "m") - (DATEDIF(D3,D5, "y") * 12))</f>
        <v>62/3</v>
      </c>
    </row>
    <row r="5" spans="1:13" ht="15" customHeight="1" x14ac:dyDescent="0.25">
      <c r="A5" s="546" t="s">
        <v>7</v>
      </c>
      <c r="B5" s="546"/>
      <c r="C5" s="546"/>
      <c r="D5" s="14">
        <f>'Pension Calculator'!C5</f>
        <v>45870</v>
      </c>
    </row>
    <row r="6" spans="1:13" ht="15" customHeight="1" x14ac:dyDescent="0.25">
      <c r="A6" s="546" t="s">
        <v>3</v>
      </c>
      <c r="B6" s="546"/>
      <c r="C6" s="546"/>
      <c r="D6" s="666" t="str">
        <f>'Pension Calculator'!C6</f>
        <v>Perla S. Pimentel</v>
      </c>
      <c r="E6" s="666"/>
      <c r="F6" s="666"/>
      <c r="H6" s="546" t="s">
        <v>34</v>
      </c>
      <c r="I6" s="546"/>
      <c r="J6" s="546"/>
      <c r="K6" s="12">
        <f>IF(D7=0,0,IF(AND(D3-D7&lt;0,(DATEDIF(D3,D5,"m")-(DATEDIF(D3,D5,"y")*12))-(DATEDIF(D7,D5,"m")-(DATEDIF(D7,D5,"y")*12))=0),DATEDIF(D3,D5,"y")-DATEDIF(D7,D5,"y"),IF(AND(D3-D7&gt;0,(DATEDIF(D7,D5,"m")-(DATEDIF(D7,D5,"y")*12))-(DATEDIF(D3,D5,"m")-(DATEDIF(D3,D5,"y")*12))=0),DATEDIF(D7,D5,"y")-DATEDIF(D3,D5,"y"),IF(D3-D7&lt;0,ROUNDDOWN(YEARFRAC(D3,D7),0),IF(D3-D7&gt;0,ROUNDDOWN(YEARFRAC(D7,D3),0),0)))))</f>
        <v>8</v>
      </c>
      <c r="L6" s="1" t="str">
        <f>IF(D7=0,"N/A",IF(K6=0,"No Difference.",IF(D3-D7&lt;0,"Year(s) Younger.", IF(D3-D7&gt;0, "Year(s) Older.","No Difference."))))</f>
        <v>Year(s) Younger.</v>
      </c>
    </row>
    <row r="7" spans="1:13" ht="15" customHeight="1" x14ac:dyDescent="0.25">
      <c r="A7" s="546" t="s">
        <v>5</v>
      </c>
      <c r="B7" s="546"/>
      <c r="C7" s="546"/>
      <c r="D7" s="14">
        <f>'Pension Calculator'!C7</f>
        <v>26366</v>
      </c>
    </row>
    <row r="8" spans="1:13" ht="15.75" customHeight="1" thickBot="1" x14ac:dyDescent="0.3">
      <c r="A8" s="575" t="s">
        <v>4</v>
      </c>
      <c r="B8" s="575"/>
      <c r="C8" s="575"/>
      <c r="D8" s="20" t="str">
        <f>DATEDIF(D7,D5,"y")&amp;"/"&amp;(DATEDIF(D7,D5, "m") - (DATEDIF(D7,D5, "y") * 12))</f>
        <v>53/4</v>
      </c>
      <c r="E8" s="19"/>
      <c r="F8" s="19"/>
      <c r="G8" s="19"/>
      <c r="H8" s="19"/>
      <c r="I8" s="19"/>
    </row>
    <row r="9" spans="1:13" ht="15.75" customHeight="1" thickBot="1" x14ac:dyDescent="0.3">
      <c r="A9" s="561" t="s">
        <v>8</v>
      </c>
      <c r="B9" s="562"/>
      <c r="C9" s="562"/>
      <c r="D9" s="563"/>
      <c r="E9" s="541" t="s">
        <v>14</v>
      </c>
      <c r="F9" s="541"/>
      <c r="G9" s="541"/>
      <c r="H9" s="541"/>
      <c r="I9" s="542"/>
      <c r="J9" s="540" t="s">
        <v>22</v>
      </c>
      <c r="K9" s="541"/>
      <c r="L9" s="541"/>
      <c r="M9" s="542"/>
    </row>
    <row r="10" spans="1:13" ht="14.25" thickBot="1" x14ac:dyDescent="0.3">
      <c r="A10" s="34" t="s">
        <v>36</v>
      </c>
      <c r="B10" s="28" t="s">
        <v>35</v>
      </c>
      <c r="C10" s="28" t="s">
        <v>9</v>
      </c>
      <c r="D10" s="29" t="s">
        <v>10</v>
      </c>
      <c r="E10" s="1" t="s">
        <v>52</v>
      </c>
      <c r="I10" s="21">
        <f>'Pro-Rata Worksheet'!B5</f>
        <v>10.65</v>
      </c>
      <c r="J10" s="11" t="s">
        <v>23</v>
      </c>
      <c r="K10" s="10" t="s">
        <v>24</v>
      </c>
      <c r="L10" s="10" t="s">
        <v>26</v>
      </c>
      <c r="M10" s="15" t="s">
        <v>27</v>
      </c>
    </row>
    <row r="11" spans="1:13" x14ac:dyDescent="0.25">
      <c r="A11" s="38"/>
      <c r="B11" s="33"/>
      <c r="C11" s="30"/>
      <c r="D11" s="5">
        <f t="shared" ref="D11:D17" si="0">(A11+B11)*C11</f>
        <v>0</v>
      </c>
      <c r="E11" s="1" t="s">
        <v>51</v>
      </c>
      <c r="I11" s="21">
        <f>'Pro-Rata Worksheet'!I5</f>
        <v>11.65</v>
      </c>
      <c r="J11" s="16">
        <v>0.5</v>
      </c>
      <c r="K11" s="17">
        <f>IF(COUNTIF(L6,"*Younger*"),100%-8%-(K6*0.4%),IF(100%-8%+(K6*0.4%)&gt;100%,100%,100%-8%+(K6*0.4%)))</f>
        <v>0.88800000000000001</v>
      </c>
      <c r="L11" s="3">
        <f>(I15+I18+I21)*K11</f>
        <v>1608.6078082404001</v>
      </c>
      <c r="M11" s="7">
        <f>L11*J11</f>
        <v>804.30390412020006</v>
      </c>
    </row>
    <row r="12" spans="1:13" x14ac:dyDescent="0.25">
      <c r="A12" s="38"/>
      <c r="B12" s="33"/>
      <c r="C12" s="30"/>
      <c r="D12" s="5">
        <f t="shared" si="0"/>
        <v>0</v>
      </c>
      <c r="E12" s="1" t="s">
        <v>53</v>
      </c>
      <c r="I12" s="4">
        <f>ROUNDDOWN(I10/I11,4)</f>
        <v>0.91410000000000002</v>
      </c>
      <c r="J12" s="6" t="s">
        <v>25</v>
      </c>
      <c r="K12" s="17">
        <f>IF(COUNTIF(L6,"*Younger*"),100%-8%-(K6*0.4%),IF(100%-8%+(K6*0.4%)&gt;100%,100%,100%-8%+(K6*0.4%)))</f>
        <v>0.88800000000000001</v>
      </c>
      <c r="L12" s="3">
        <f>(I15+I18)*K12</f>
        <v>724.70595368160002</v>
      </c>
      <c r="M12" s="7">
        <f>L12*J11</f>
        <v>362.35297684080001</v>
      </c>
    </row>
    <row r="13" spans="1:13" x14ac:dyDescent="0.25">
      <c r="A13" s="38" cm="1">
        <f t="array" ref="A13">SUM('Pro-Rata Worksheet'!I6:I10-'Pro-Rata Worksheet'!B6:B10)</f>
        <v>0</v>
      </c>
      <c r="B13" s="33"/>
      <c r="C13" s="30">
        <v>100</v>
      </c>
      <c r="D13" s="5">
        <f t="shared" si="0"/>
        <v>0</v>
      </c>
      <c r="E13" s="1" t="s">
        <v>54</v>
      </c>
      <c r="H13" s="21"/>
      <c r="I13" s="3">
        <f>D18*I12</f>
        <v>741.9201240000001</v>
      </c>
      <c r="J13" s="16">
        <v>0.75</v>
      </c>
      <c r="K13" s="17">
        <f>IF(COUNTIF(L6,"*Younger*"),100%-12%-(K6*0.4%),IF(100%-12%+(K6*0.4%)&gt;100%,100%,100%-12%+(K6*0.4%)))</f>
        <v>0.84799999999999998</v>
      </c>
      <c r="L13" s="3">
        <f>(I15+I18+I21)*K13</f>
        <v>1536.1479970584001</v>
      </c>
      <c r="M13" s="7">
        <f>L13*J13</f>
        <v>1152.1109977937999</v>
      </c>
    </row>
    <row r="14" spans="1:13" x14ac:dyDescent="0.25">
      <c r="A14" s="38"/>
      <c r="B14" s="33"/>
      <c r="C14" s="31">
        <v>50</v>
      </c>
      <c r="D14" s="5">
        <f t="shared" si="0"/>
        <v>0</v>
      </c>
      <c r="E14" s="1" t="s">
        <v>16</v>
      </c>
      <c r="I14" s="4">
        <f>IF(DATEDIF(D3,D5,"m")&lt;=600,(DATEDIF(D3,D5,"m")-540)*0.1%+40%,IF(DATEDIF(D3,D5,"m")&lt;=660,(DATEDIF(D3,D5,"m")-600)*0.2%+46%,IF((DATEDIF(D3,D5,"m")-660)*0.5%+58%&gt;=100%,100%,(DATEDIF(D3,D5,"m")-660)*0.5%+58%)))</f>
        <v>1</v>
      </c>
      <c r="J14" s="6" t="s">
        <v>25</v>
      </c>
      <c r="K14" s="17">
        <f>IF(COUNTIF(L6,"*Younger*"),100%-12%-(K6*0.4%),IF(100%-12%+(K6*0.4%)&gt;100%,100%,100%-12%+(K6*0.4%)))</f>
        <v>0.84799999999999998</v>
      </c>
      <c r="L14" s="3">
        <f>(I15+I18)*K14</f>
        <v>692.06154135360009</v>
      </c>
      <c r="M14" s="7">
        <f>L14*J13</f>
        <v>519.04615601520004</v>
      </c>
    </row>
    <row r="15" spans="1:13" x14ac:dyDescent="0.25">
      <c r="A15" s="38" cm="1">
        <f t="array" ref="A15">SUM('Pro-Rata Worksheet'!I35:I64-'Pro-Rata Worksheet'!B35:B64)</f>
        <v>0</v>
      </c>
      <c r="B15" s="33">
        <f>SUM('Pro-Rata Worksheet'!B35:B64)</f>
        <v>5.33</v>
      </c>
      <c r="C15" s="31">
        <v>118</v>
      </c>
      <c r="D15" s="5">
        <f t="shared" si="0"/>
        <v>628.94000000000005</v>
      </c>
      <c r="E15" s="1" t="s">
        <v>55</v>
      </c>
      <c r="I15" s="3">
        <f>(I13*I14)</f>
        <v>741.9201240000001</v>
      </c>
      <c r="J15" s="16">
        <v>1</v>
      </c>
      <c r="K15" s="17">
        <f>IF(COUNTIF(L6,"*Younger*"),100%-15%-(K6*0.5%),IF(100%-15%+(K6*0.5%)&gt;100%,100%,100%-15%+(K6*0.4%)))</f>
        <v>0.80999999999999994</v>
      </c>
      <c r="L15" s="3">
        <f>(I15+I18+I21)*K15</f>
        <v>1467.3111764354999</v>
      </c>
      <c r="M15" s="7">
        <f>L15*J15</f>
        <v>1467.3111764354999</v>
      </c>
    </row>
    <row r="16" spans="1:13" ht="14.25" thickBot="1" x14ac:dyDescent="0.3">
      <c r="A16" s="38" cm="1">
        <f t="array" ref="A16">SUM('Pro-Rata Worksheet'!I31:I34-'Pro-Rata Worksheet'!B31:B34)</f>
        <v>0</v>
      </c>
      <c r="B16" s="33">
        <f>SUM('Pro-Rata Worksheet'!B31:B34)</f>
        <v>1.7399999999999998</v>
      </c>
      <c r="C16" s="31">
        <v>105</v>
      </c>
      <c r="D16" s="5">
        <f t="shared" si="0"/>
        <v>182.7</v>
      </c>
      <c r="E16" s="1" t="s">
        <v>59</v>
      </c>
      <c r="H16" s="21"/>
      <c r="I16" s="3">
        <f>D22*I12</f>
        <v>88.850520000000003</v>
      </c>
      <c r="J16" s="18" t="s">
        <v>25</v>
      </c>
      <c r="K16" s="22">
        <f>IF(COUNTIF(L6,"*Younger*"),100%-15%-(K6*0.5%),IF(100%-15%+(K6*0.5%)&gt;100%,100%,100%-15%+(K6*0.4%)))</f>
        <v>0.80999999999999994</v>
      </c>
      <c r="L16" s="8">
        <f>(I15+I18)*K16</f>
        <v>661.04934964200004</v>
      </c>
      <c r="M16" s="9">
        <f>L16*J15</f>
        <v>661.04934964200004</v>
      </c>
    </row>
    <row r="17" spans="1:13" ht="14.25" thickBot="1" x14ac:dyDescent="0.3">
      <c r="A17" s="38"/>
      <c r="B17" s="33"/>
      <c r="C17" s="31">
        <v>125</v>
      </c>
      <c r="D17" s="5">
        <f t="shared" si="0"/>
        <v>0</v>
      </c>
      <c r="E17" s="2" t="s">
        <v>16</v>
      </c>
      <c r="F17" s="2"/>
      <c r="I17" s="4">
        <f>IF(DATEDIF(D3,D5,"m")&lt;=600,(DATEDIF(D3,D5,"m")-540)*0.1%+22%,IF(DATEDIF(D3,D5,"m")&lt;=660,(DATEDIF(D3,D5,"m")-600)*0.2%+28%,IF((DATEDIF(D3,D5,"m")-660)*0.5%+40%&gt;=100%,100%,(DATEDIF(D3,D5,"m")-660)*0.5%+40%)))</f>
        <v>0.83499999999999996</v>
      </c>
    </row>
    <row r="18" spans="1:13" ht="14.25" thickBot="1" x14ac:dyDescent="0.3">
      <c r="A18" s="24">
        <f>SUM(A11:A17)</f>
        <v>0</v>
      </c>
      <c r="B18" s="35">
        <f>SUM(B11:B17)</f>
        <v>7.07</v>
      </c>
      <c r="C18" s="23" t="s">
        <v>11</v>
      </c>
      <c r="D18" s="26">
        <f>SUM(D11:D17)</f>
        <v>811.6400000000001</v>
      </c>
      <c r="E18" s="1" t="s">
        <v>56</v>
      </c>
      <c r="I18" s="3">
        <f>I16*I17</f>
        <v>74.190184200000004</v>
      </c>
      <c r="J18" s="540" t="s">
        <v>28</v>
      </c>
      <c r="K18" s="541"/>
      <c r="L18" s="541"/>
      <c r="M18" s="542"/>
    </row>
    <row r="19" spans="1:13" ht="15.75" customHeight="1" thickBot="1" x14ac:dyDescent="0.3">
      <c r="A19" s="572" t="s">
        <v>12</v>
      </c>
      <c r="B19" s="573"/>
      <c r="C19" s="573"/>
      <c r="D19" s="574"/>
      <c r="E19" s="77" t="s">
        <v>57</v>
      </c>
      <c r="H19" s="21"/>
      <c r="I19" s="3">
        <f>SUM(D30+D39)*I12</f>
        <v>1192.07781</v>
      </c>
      <c r="J19" s="11" t="s">
        <v>23</v>
      </c>
      <c r="K19" s="10" t="s">
        <v>24</v>
      </c>
      <c r="L19" s="10" t="s">
        <v>26</v>
      </c>
      <c r="M19" s="15" t="s">
        <v>27</v>
      </c>
    </row>
    <row r="20" spans="1:13" x14ac:dyDescent="0.25">
      <c r="A20" s="38" cm="1">
        <f t="array" ref="A20">SUM('Pro-Rata Worksheet'!I27:I30-'Pro-Rata Worksheet'!B27:B30)</f>
        <v>1</v>
      </c>
      <c r="B20" s="33">
        <f>SUM('Pro-Rata Worksheet'!B27:B30)</f>
        <v>0.08</v>
      </c>
      <c r="C20" s="3">
        <v>90</v>
      </c>
      <c r="D20" s="5">
        <f>(A20+B20)*C20</f>
        <v>97.2</v>
      </c>
      <c r="E20" s="1" t="s">
        <v>16</v>
      </c>
      <c r="I20" s="4">
        <f>IF(DATEDIF(D3,D5,"m")&lt;=600,(DATEDIF(D3,D5,"m")-540)*0.1%+22%,IF(DATEDIF(D3,D5,"m")&lt;=660,(DATEDIF(D3,D5,"m")-600)*0.2%+28%,IF((DATEDIF(D3,D5,"m")-660)*0.5%+40%&gt;=100%,100%,(DATEDIF(D3,D5,"m")-660)*0.5%+40%)))</f>
        <v>0.83499999999999996</v>
      </c>
      <c r="J20" s="16">
        <v>0.5</v>
      </c>
      <c r="K20" s="17">
        <f>IF(COUNTIF(L6,"*Younger*"),100%-18%-(K6*0.4%),IF(100%-18%+(K6*0.4%)&gt;100%,100%,100%-18%+(K6*0.4%)))</f>
        <v>0.78800000000000003</v>
      </c>
      <c r="L20" s="3">
        <f>(I13+I16+I19)*K20</f>
        <v>1594.0045817519999</v>
      </c>
      <c r="M20" s="7">
        <f>L20*J20</f>
        <v>797.00229087599996</v>
      </c>
    </row>
    <row r="21" spans="1:13" ht="14.25" thickBot="1" x14ac:dyDescent="0.3">
      <c r="A21" s="82"/>
      <c r="B21" s="83"/>
      <c r="C21" s="8">
        <v>125</v>
      </c>
      <c r="D21" s="85">
        <f>(A21+B21)*C21</f>
        <v>0</v>
      </c>
      <c r="E21" s="77" t="s">
        <v>58</v>
      </c>
      <c r="I21" s="3">
        <f>I19*I20</f>
        <v>995.38497135</v>
      </c>
      <c r="J21" s="6" t="s">
        <v>25</v>
      </c>
      <c r="K21" s="17">
        <f>IF(COUNTIF(L6,"*Younger*"),100%-18%-(K6*0.4%),IF(100%-18%+(K6*0.4%)&gt;100%,100%,100%-18%+(K6*0.4%)))</f>
        <v>0.78800000000000003</v>
      </c>
      <c r="L21" s="3">
        <f>(I13+I16)*K21</f>
        <v>654.64726747200007</v>
      </c>
      <c r="M21" s="7">
        <f>L21*J20</f>
        <v>327.32363373600003</v>
      </c>
    </row>
    <row r="22" spans="1:13" ht="14.25" thickBot="1" x14ac:dyDescent="0.3">
      <c r="A22" s="35">
        <f>SUM(A20:A21)</f>
        <v>1</v>
      </c>
      <c r="B22" s="35">
        <f>SUM(B20:B21)</f>
        <v>0.08</v>
      </c>
      <c r="C22" s="25" t="s">
        <v>11</v>
      </c>
      <c r="D22" s="26">
        <f>SUM(D20:D21)</f>
        <v>97.2</v>
      </c>
      <c r="E22" s="2"/>
      <c r="F22" s="2"/>
      <c r="J22" s="16">
        <v>0.75</v>
      </c>
      <c r="K22" s="17">
        <f>IF(COUNTIF(L6,"*Younger*"),100%-24%-(K6*0.4%),IF(100%-24%+(K6*0.4%)&gt;100%,100%,100%-24%+(K6*0.4%)))</f>
        <v>0.72799999999999998</v>
      </c>
      <c r="L22" s="3">
        <f>(I13+I16+I19)*K22</f>
        <v>1472.633674512</v>
      </c>
      <c r="M22" s="7">
        <f>L22*J22</f>
        <v>1104.475255884</v>
      </c>
    </row>
    <row r="23" spans="1:13" ht="15" customHeight="1" thickBot="1" x14ac:dyDescent="0.3">
      <c r="A23" s="572" t="s">
        <v>13</v>
      </c>
      <c r="B23" s="573"/>
      <c r="C23" s="573"/>
      <c r="D23" s="574"/>
      <c r="E23" s="77" t="s">
        <v>60</v>
      </c>
      <c r="I23" s="3">
        <f>SUM(I13,I16,I19)</f>
        <v>2022.8484539999999</v>
      </c>
      <c r="J23" s="6" t="s">
        <v>25</v>
      </c>
      <c r="K23" s="17">
        <f>IF(COUNTIF(L6,"*Younger*"),100%-24%-(K6*0.4%),IF(100%-24%+(K6*0.4%)&gt;100%,100%,100%-24%+(K6*0.4%)))</f>
        <v>0.72799999999999998</v>
      </c>
      <c r="L23" s="3">
        <f>(I13+I16)*K23</f>
        <v>604.80102883200004</v>
      </c>
      <c r="M23" s="7">
        <f>L23*J22</f>
        <v>453.600771624</v>
      </c>
    </row>
    <row r="24" spans="1:13" x14ac:dyDescent="0.25">
      <c r="A24" s="38" cm="1">
        <f t="array" ref="A24">SUM('Pro-Rata Worksheet'!I6:I26-'Pro-Rata Worksheet'!B6:B26)</f>
        <v>0</v>
      </c>
      <c r="B24" s="33">
        <v>3.67</v>
      </c>
      <c r="C24" s="3">
        <v>105</v>
      </c>
      <c r="D24" s="5">
        <f t="shared" ref="D24:D29" si="1">(A24+B24)*C24</f>
        <v>385.34999999999997</v>
      </c>
      <c r="E24" s="77" t="s">
        <v>61</v>
      </c>
      <c r="I24" s="3">
        <f>SUM(I13,I16)</f>
        <v>830.77064400000006</v>
      </c>
      <c r="J24" s="16">
        <v>1</v>
      </c>
      <c r="K24" s="17">
        <f>IF(COUNTIF(L6,"*Younger*"),100%-30%-(K6*0.5%),IF(100%-30%+(K6*0.5%)&gt;100%,100%,100%-30%+(K6*0.4%)))</f>
        <v>0.65999999999999992</v>
      </c>
      <c r="L24" s="3">
        <f>(I13+I16+I19)*K24</f>
        <v>1335.0799796399997</v>
      </c>
      <c r="M24" s="7">
        <f>L24*J24</f>
        <v>1335.0799796399997</v>
      </c>
    </row>
    <row r="25" spans="1:13" ht="14.25" thickBot="1" x14ac:dyDescent="0.3">
      <c r="A25" s="38"/>
      <c r="B25" s="33"/>
      <c r="C25" s="3">
        <v>125</v>
      </c>
      <c r="D25" s="5">
        <f t="shared" si="1"/>
        <v>0</v>
      </c>
      <c r="E25" s="77"/>
      <c r="J25" s="18" t="s">
        <v>25</v>
      </c>
      <c r="K25" s="22">
        <f>IF(COUNTIF(L6,"*Younger*"),100%-30%-(K6*0.5%),IF(100%-30%+(K6*0.5%)&gt;100%,100%,100%-30%+(K6*0.4%)))</f>
        <v>0.65999999999999992</v>
      </c>
      <c r="L25" s="8">
        <f>(I13+I16)*K24</f>
        <v>548.30862503999992</v>
      </c>
      <c r="M25" s="9">
        <f>L25*J24</f>
        <v>548.30862503999992</v>
      </c>
    </row>
    <row r="26" spans="1:13" ht="14.25" thickBot="1" x14ac:dyDescent="0.3">
      <c r="A26" s="38"/>
      <c r="B26" s="33"/>
      <c r="C26" s="3">
        <v>135</v>
      </c>
      <c r="D26" s="5">
        <f t="shared" si="1"/>
        <v>0</v>
      </c>
      <c r="E26" s="77" t="s">
        <v>62</v>
      </c>
      <c r="I26" s="3">
        <f>SUM(I15,I18,I21)</f>
        <v>1811.4952795500001</v>
      </c>
    </row>
    <row r="27" spans="1:13" ht="14.25" thickBot="1" x14ac:dyDescent="0.3">
      <c r="A27" s="38"/>
      <c r="B27" s="33"/>
      <c r="C27" s="32"/>
      <c r="D27" s="5">
        <f t="shared" si="1"/>
        <v>0</v>
      </c>
      <c r="E27" s="77" t="s">
        <v>63</v>
      </c>
      <c r="I27" s="3">
        <f>SUM(I15,I18)</f>
        <v>816.11030820000008</v>
      </c>
      <c r="J27" s="540" t="s">
        <v>69</v>
      </c>
      <c r="K27" s="541"/>
      <c r="L27" s="541"/>
      <c r="M27" s="542"/>
    </row>
    <row r="28" spans="1:13" ht="15.75" customHeight="1" x14ac:dyDescent="0.25">
      <c r="A28" s="38"/>
      <c r="B28" s="33"/>
      <c r="C28" s="32"/>
      <c r="D28" s="5">
        <f t="shared" si="1"/>
        <v>0</v>
      </c>
      <c r="J28" s="79" t="s">
        <v>23</v>
      </c>
      <c r="K28" s="80" t="s">
        <v>24</v>
      </c>
      <c r="L28" s="80" t="s">
        <v>26</v>
      </c>
      <c r="M28" s="81" t="s">
        <v>27</v>
      </c>
    </row>
    <row r="29" spans="1:13" ht="14.25" thickBot="1" x14ac:dyDescent="0.3">
      <c r="A29" s="38"/>
      <c r="B29" s="33"/>
      <c r="C29" s="32"/>
      <c r="D29" s="5">
        <f t="shared" si="1"/>
        <v>0</v>
      </c>
      <c r="J29" s="16">
        <v>0.5</v>
      </c>
      <c r="K29" s="17">
        <f>IF(COUNTIF(L6,"*Younger*"),100%-8%-(K6*0.4%),IF(100%-8%+(K6*0.4%)&gt;100%,100%,100%-8%+(K6*0.4%)))</f>
        <v>0.88800000000000001</v>
      </c>
      <c r="L29" s="3">
        <f>(I13+I16+I19)*K29</f>
        <v>1796.2894271519999</v>
      </c>
      <c r="M29" s="7">
        <f>L29*J29</f>
        <v>898.14471357599996</v>
      </c>
    </row>
    <row r="30" spans="1:13" ht="14.25" thickBot="1" x14ac:dyDescent="0.3">
      <c r="A30" s="35">
        <f>SUM(A24:A29)</f>
        <v>0</v>
      </c>
      <c r="B30" s="35">
        <f>SUM(B24:B29)</f>
        <v>3.67</v>
      </c>
      <c r="C30" s="23" t="s">
        <v>11</v>
      </c>
      <c r="D30" s="26">
        <f>SUM(D24:D29)</f>
        <v>385.34999999999997</v>
      </c>
      <c r="J30" s="6" t="s">
        <v>25</v>
      </c>
      <c r="K30" s="17">
        <f>IF(COUNTIF(L6,"*Younger*"),100%-8%-(K6*0.4%),IF(100%-8%+(K6*0.4%)&gt;100%,100%,100%-8%+(K6*0.4%)))</f>
        <v>0.88800000000000001</v>
      </c>
      <c r="L30" s="3">
        <f>(I13+I16)*K30</f>
        <v>737.72433187200011</v>
      </c>
      <c r="M30" s="7">
        <f>L30*J29</f>
        <v>368.86216593600005</v>
      </c>
    </row>
    <row r="31" spans="1:13" ht="15.75" customHeight="1" thickBot="1" x14ac:dyDescent="0.3">
      <c r="A31" s="36">
        <f>SUM(A18,A22,A30)</f>
        <v>1</v>
      </c>
      <c r="B31" s="37">
        <f>SUM(B18,B22,B30)</f>
        <v>10.82</v>
      </c>
      <c r="C31" s="28" t="s">
        <v>81</v>
      </c>
      <c r="D31" s="26">
        <f>SUM(D18,D22,D30)</f>
        <v>1294.19</v>
      </c>
      <c r="E31" s="77" t="s">
        <v>78</v>
      </c>
      <c r="I31" s="1">
        <v>0</v>
      </c>
      <c r="J31" s="16">
        <v>0.75</v>
      </c>
      <c r="K31" s="17">
        <f>IF(COUNTIF(L6,"*Younger*"),100%-12%-(K6*0.4%),IF(100%-12%+(K6*0.4%)&gt;100%,100%,100%-12%+(K6*0.4%)))</f>
        <v>0.84799999999999998</v>
      </c>
      <c r="L31" s="3">
        <f>(I13+I16+I19)*K31</f>
        <v>1715.3754889919999</v>
      </c>
      <c r="M31" s="7">
        <f>L31*J31</f>
        <v>1286.5316167439998</v>
      </c>
    </row>
    <row r="32" spans="1:13" ht="14.25" thickBot="1" x14ac:dyDescent="0.3">
      <c r="A32" s="561" t="s">
        <v>80</v>
      </c>
      <c r="B32" s="562"/>
      <c r="C32" s="562"/>
      <c r="D32" s="563"/>
      <c r="E32" s="77" t="s">
        <v>79</v>
      </c>
      <c r="I32" s="1">
        <v>0</v>
      </c>
      <c r="J32" s="6" t="s">
        <v>25</v>
      </c>
      <c r="K32" s="17">
        <f>IF(COUNTIF(L6,"*Younger*"),100%-12%-(K6*0.4%),IF(100%-12%+(K6*0.4%)&gt;100%,100%,100%-12%+(K6*0.4%)))</f>
        <v>0.84799999999999998</v>
      </c>
      <c r="L32" s="3">
        <f>(I13+I16)*K32</f>
        <v>704.49350611199998</v>
      </c>
      <c r="M32" s="7">
        <f>L32*J31</f>
        <v>528.37012958399998</v>
      </c>
    </row>
    <row r="33" spans="1:13" ht="15.75" customHeight="1" x14ac:dyDescent="0.25">
      <c r="A33" s="38"/>
      <c r="B33" s="33">
        <v>8.75</v>
      </c>
      <c r="C33" s="3">
        <v>105</v>
      </c>
      <c r="D33" s="5">
        <f t="shared" ref="D33:D38" si="2">(A33+B33)*C33</f>
        <v>918.75</v>
      </c>
      <c r="E33" s="77" t="s">
        <v>67</v>
      </c>
      <c r="I33" s="4">
        <f>SUM(I31*1%)+(I32*1.5%)</f>
        <v>0</v>
      </c>
      <c r="J33" s="16">
        <v>1</v>
      </c>
      <c r="K33" s="17">
        <f>IF(COUNTIF(L6,"*Younger*"),100%-15%-(K6*0.5%),IF(100%-15%+(K6*0.5%)&gt;100%,100%,100%-15%+(K6*0.4%)))</f>
        <v>0.80999999999999994</v>
      </c>
      <c r="L33" s="3">
        <f>(I13+I16+I19)*K33</f>
        <v>1638.5072477399999</v>
      </c>
      <c r="M33" s="7">
        <f>L33*J33</f>
        <v>1638.5072477399999</v>
      </c>
    </row>
    <row r="34" spans="1:13" ht="14.65" customHeight="1" thickBot="1" x14ac:dyDescent="0.3">
      <c r="A34" s="38"/>
      <c r="B34" s="33"/>
      <c r="C34" s="3">
        <v>125</v>
      </c>
      <c r="D34" s="5">
        <f t="shared" si="2"/>
        <v>0</v>
      </c>
      <c r="E34" s="1" t="s">
        <v>66</v>
      </c>
      <c r="I34" s="3">
        <f>SUM(D31*I12)*I33</f>
        <v>0</v>
      </c>
      <c r="J34" s="18" t="s">
        <v>25</v>
      </c>
      <c r="K34" s="22">
        <f>IF(COUNTIF(L6,"*Younger*"),100%-15%-(K6*0.5%),IF(100%-15%+(K6*0.5%)&gt;100%,100%,100%-15%+(K6*0.4%)))</f>
        <v>0.80999999999999994</v>
      </c>
      <c r="L34" s="8">
        <f>(I13+I16)*K34</f>
        <v>672.92422164000004</v>
      </c>
      <c r="M34" s="9">
        <f>L34*J33</f>
        <v>672.92422164000004</v>
      </c>
    </row>
    <row r="35" spans="1:13" ht="14.25" thickBot="1" x14ac:dyDescent="0.3">
      <c r="A35" s="38"/>
      <c r="B35" s="33"/>
      <c r="C35" s="3">
        <v>135</v>
      </c>
      <c r="D35" s="5">
        <f t="shared" si="2"/>
        <v>0</v>
      </c>
      <c r="E35" s="1" t="s">
        <v>68</v>
      </c>
      <c r="I35" s="3">
        <f>SUM((D18+D22)*I12)*I33</f>
        <v>0</v>
      </c>
    </row>
    <row r="36" spans="1:13" ht="14.25" thickBot="1" x14ac:dyDescent="0.3">
      <c r="A36" s="38"/>
      <c r="B36" s="33"/>
      <c r="C36" s="32"/>
      <c r="D36" s="5">
        <f t="shared" si="2"/>
        <v>0</v>
      </c>
      <c r="E36" s="1" t="s">
        <v>71</v>
      </c>
      <c r="I36" s="3">
        <f>SUM((D31*I12)+I34)</f>
        <v>1183.0190790000001</v>
      </c>
      <c r="J36" s="540" t="s">
        <v>70</v>
      </c>
      <c r="K36" s="541"/>
      <c r="L36" s="541"/>
      <c r="M36" s="542"/>
    </row>
    <row r="37" spans="1:13" x14ac:dyDescent="0.25">
      <c r="A37" s="38"/>
      <c r="B37" s="33"/>
      <c r="C37" s="32"/>
      <c r="D37" s="5">
        <f t="shared" si="2"/>
        <v>0</v>
      </c>
      <c r="E37" s="1" t="s">
        <v>72</v>
      </c>
      <c r="I37" s="3">
        <f>SUM((D18+D22)*I12+I35)</f>
        <v>830.77064400000017</v>
      </c>
      <c r="J37" s="79" t="s">
        <v>23</v>
      </c>
      <c r="K37" s="80" t="s">
        <v>24</v>
      </c>
      <c r="L37" s="80" t="s">
        <v>26</v>
      </c>
      <c r="M37" s="81" t="s">
        <v>27</v>
      </c>
    </row>
    <row r="38" spans="1:13" ht="14.25" thickBot="1" x14ac:dyDescent="0.3">
      <c r="A38" s="82"/>
      <c r="B38" s="83"/>
      <c r="C38" s="84"/>
      <c r="D38" s="85">
        <f t="shared" si="2"/>
        <v>0</v>
      </c>
      <c r="J38" s="16">
        <v>0.5</v>
      </c>
      <c r="K38" s="17">
        <f>IF(COUNTIF(L6,"*Younger*"),100%-8%-(K6*0.4%),IF(100%-8%+(K6*0.4%)&gt;100%,100%,100%-8%+(K6*0.4%)))</f>
        <v>0.88800000000000001</v>
      </c>
      <c r="L38" s="3">
        <f>I36*K38</f>
        <v>1050.5209421520001</v>
      </c>
      <c r="M38" s="7">
        <f>L38*J38</f>
        <v>525.26047107600004</v>
      </c>
    </row>
    <row r="39" spans="1:13" ht="14.25" thickBot="1" x14ac:dyDescent="0.3">
      <c r="A39" s="24">
        <f>SUM(A33:A38)</f>
        <v>0</v>
      </c>
      <c r="B39" s="35">
        <f>SUM(B33:B38)</f>
        <v>8.75</v>
      </c>
      <c r="C39" s="86" t="s">
        <v>11</v>
      </c>
      <c r="D39" s="26">
        <f>SUM(D33:D38)</f>
        <v>918.75</v>
      </c>
      <c r="E39" s="1" t="s">
        <v>75</v>
      </c>
      <c r="I39" s="3">
        <f>I23</f>
        <v>2022.8484539999999</v>
      </c>
      <c r="J39" s="6" t="s">
        <v>25</v>
      </c>
      <c r="K39" s="17">
        <f>IF(COUNTIF(L6,"*Younger*"),100%-8%-(K6*0.4%),IF(100%-8%+(K6*0.4%)&gt;100%,100%,100%-8%+(K6*0.4%)))</f>
        <v>0.88800000000000001</v>
      </c>
      <c r="L39" s="3">
        <f>I37*K39</f>
        <v>737.72433187200022</v>
      </c>
      <c r="M39" s="7">
        <f>L39*J38</f>
        <v>368.86216593600011</v>
      </c>
    </row>
    <row r="40" spans="1:13" ht="15.75" customHeight="1" thickBot="1" x14ac:dyDescent="0.3">
      <c r="A40" s="24">
        <f>SUM(A18,A22,A30,A39)</f>
        <v>1</v>
      </c>
      <c r="B40" s="24">
        <f>SUM(B18,B22,B30,B39)</f>
        <v>19.57</v>
      </c>
      <c r="C40" s="28" t="s">
        <v>37</v>
      </c>
      <c r="D40" s="26">
        <f>SUM(D18,D22,D30,D39)</f>
        <v>2212.94</v>
      </c>
      <c r="E40" s="1" t="s">
        <v>76</v>
      </c>
      <c r="I40" s="3">
        <f>I36</f>
        <v>1183.0190790000001</v>
      </c>
      <c r="J40" s="16">
        <v>0.75</v>
      </c>
      <c r="K40" s="17">
        <f>IF(COUNTIF(L6,"*Younger*"),100%-12%-(K6*0.4%),IF(100%-12%+(K6*0.4%)&gt;100%,100%,100%-12%+(K6*0.4%)))</f>
        <v>0.84799999999999998</v>
      </c>
      <c r="L40" s="3">
        <f>I36*K40</f>
        <v>1003.2001789920001</v>
      </c>
      <c r="M40" s="7">
        <f>L40*J40</f>
        <v>752.40013424400013</v>
      </c>
    </row>
    <row r="41" spans="1:13" x14ac:dyDescent="0.25">
      <c r="E41" s="1" t="s">
        <v>77</v>
      </c>
      <c r="H41" s="1" t="str">
        <f>IF(I39=I40,"No Difference",IF(I39&lt;I40,"Calculation 2","Calculation 1"))</f>
        <v>Calculation 1</v>
      </c>
      <c r="I41" s="3">
        <f>IF(I39=I40,I39,IF(I39&lt;I40,I40,I39))</f>
        <v>2022.8484539999999</v>
      </c>
      <c r="J41" s="6" t="s">
        <v>25</v>
      </c>
      <c r="K41" s="17">
        <f>IF(COUNTIF(L6,"*Younger*"),100%-12%-(K6*0.4%),IF(100%-12%+(K6*0.4%)&gt;100%,100%,100%-12%+(K6*0.4%)))</f>
        <v>0.84799999999999998</v>
      </c>
      <c r="L41" s="3">
        <f>I37*K41</f>
        <v>704.49350611200009</v>
      </c>
      <c r="M41" s="7">
        <f>L41*J40</f>
        <v>528.3701295840001</v>
      </c>
    </row>
    <row r="42" spans="1:13" x14ac:dyDescent="0.25">
      <c r="J42" s="16">
        <v>1</v>
      </c>
      <c r="K42" s="17">
        <f>IF(COUNTIF(L6,"*Younger*"),100%-15%-(K6*0.5%),IF(100%-15%+(K6*0.5%)&gt;100%,100%,100%-15%+(K6*0.4%)))</f>
        <v>0.80999999999999994</v>
      </c>
      <c r="L42" s="3">
        <f>I36*K42</f>
        <v>958.2454539900001</v>
      </c>
      <c r="M42" s="7">
        <f>L42*J42</f>
        <v>958.2454539900001</v>
      </c>
    </row>
    <row r="43" spans="1:13" ht="14.25" thickBot="1" x14ac:dyDescent="0.3">
      <c r="A43" s="1" t="s">
        <v>30</v>
      </c>
      <c r="B43" s="571"/>
      <c r="C43" s="571"/>
      <c r="D43" s="571"/>
      <c r="E43" s="1" t="s">
        <v>31</v>
      </c>
      <c r="F43" s="571"/>
      <c r="G43" s="571"/>
      <c r="H43" s="571"/>
      <c r="J43" s="18" t="s">
        <v>25</v>
      </c>
      <c r="K43" s="22">
        <f>IF(COUNTIF(L6,"*Younger*"),100%-15%-(K6*0.5%),IF(100%-15%+(K6*0.5%)&gt;100%,100%,100%-15%+(K6*0.4%)))</f>
        <v>0.80999999999999994</v>
      </c>
      <c r="L43" s="8">
        <f>I37*K43</f>
        <v>672.92422164000004</v>
      </c>
      <c r="M43" s="9">
        <f>L43*J42</f>
        <v>672.92422164000004</v>
      </c>
    </row>
  </sheetData>
  <mergeCells count="23">
    <mergeCell ref="A4:C4"/>
    <mergeCell ref="A1:M1"/>
    <mergeCell ref="A2:C2"/>
    <mergeCell ref="D2:F2"/>
    <mergeCell ref="J2:K2"/>
    <mergeCell ref="A3:C3"/>
    <mergeCell ref="A23:D23"/>
    <mergeCell ref="A5:C5"/>
    <mergeCell ref="A6:C6"/>
    <mergeCell ref="D6:F6"/>
    <mergeCell ref="H6:J6"/>
    <mergeCell ref="A7:C7"/>
    <mergeCell ref="A8:C8"/>
    <mergeCell ref="A9:D9"/>
    <mergeCell ref="E9:I9"/>
    <mergeCell ref="J9:M9"/>
    <mergeCell ref="J18:M18"/>
    <mergeCell ref="A19:D19"/>
    <mergeCell ref="J27:M27"/>
    <mergeCell ref="A32:D32"/>
    <mergeCell ref="J36:M36"/>
    <mergeCell ref="B43:D43"/>
    <mergeCell ref="F43:H43"/>
  </mergeCells>
  <pageMargins left="0.7" right="0.7" top="0.75" bottom="0.75" header="0.3" footer="0.3"/>
  <pageSetup scale="79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136B-DFC5-4ACB-85AF-6889B8B992A6}">
  <sheetPr>
    <pageSetUpPr fitToPage="1"/>
  </sheetPr>
  <dimension ref="A1:M43"/>
  <sheetViews>
    <sheetView zoomScaleNormal="100" workbookViewId="0">
      <selection activeCell="D3" sqref="D3"/>
    </sheetView>
  </sheetViews>
  <sheetFormatPr defaultColWidth="9.140625" defaultRowHeight="13.5" x14ac:dyDescent="0.25"/>
  <cols>
    <col min="1" max="1" width="10.42578125" style="1" bestFit="1" customWidth="1"/>
    <col min="2" max="2" width="12" style="1" customWidth="1"/>
    <col min="3" max="3" width="9.42578125" style="1" customWidth="1"/>
    <col min="4" max="4" width="10.5703125" style="1" customWidth="1"/>
    <col min="5" max="5" width="10.7109375" style="1" customWidth="1"/>
    <col min="6" max="6" width="9.140625" style="1"/>
    <col min="7" max="7" width="10.7109375" style="1" customWidth="1"/>
    <col min="8" max="8" width="15.5703125" style="1" customWidth="1"/>
    <col min="9" max="9" width="10" style="1" customWidth="1"/>
    <col min="10" max="10" width="11.28515625" style="1" customWidth="1"/>
    <col min="11" max="11" width="6.85546875" style="1" bestFit="1" customWidth="1"/>
    <col min="12" max="12" width="13" style="1" bestFit="1" customWidth="1"/>
    <col min="13" max="13" width="12.42578125" style="1" customWidth="1"/>
    <col min="14" max="16384" width="9.140625" style="1"/>
  </cols>
  <sheetData>
    <row r="1" spans="1:13" ht="15" customHeight="1" x14ac:dyDescent="0.25">
      <c r="A1" s="531" t="s">
        <v>73</v>
      </c>
      <c r="B1" s="531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</row>
    <row r="2" spans="1:13" ht="15" customHeight="1" x14ac:dyDescent="0.25">
      <c r="A2" s="546" t="s">
        <v>1</v>
      </c>
      <c r="B2" s="546"/>
      <c r="C2" s="546"/>
      <c r="D2" s="667" t="str">
        <f>'Pension Calculator'!C2</f>
        <v>Rigoberto Pimentel</v>
      </c>
      <c r="E2" s="667"/>
      <c r="F2" s="667"/>
      <c r="I2" s="1" t="s">
        <v>0</v>
      </c>
      <c r="J2" s="666" t="str">
        <f>'Pension Calculator'!I2</f>
        <v>320395X00</v>
      </c>
      <c r="K2" s="666"/>
    </row>
    <row r="3" spans="1:13" ht="15" customHeight="1" x14ac:dyDescent="0.25">
      <c r="A3" s="546" t="s">
        <v>6</v>
      </c>
      <c r="B3" s="546"/>
      <c r="C3" s="546"/>
      <c r="D3" s="14">
        <f>'Pension Calculator'!C3</f>
        <v>23105</v>
      </c>
    </row>
    <row r="4" spans="1:13" ht="15" customHeight="1" x14ac:dyDescent="0.25">
      <c r="A4" s="546" t="s">
        <v>2</v>
      </c>
      <c r="B4" s="546"/>
      <c r="C4" s="546"/>
      <c r="D4" s="20" t="str">
        <f>DATEDIF(D3,D5,"y")&amp;"/"&amp;(DATEDIF(D3,D5, "m") - (DATEDIF(D3,D5, "y") * 12))</f>
        <v>62/3</v>
      </c>
    </row>
    <row r="5" spans="1:13" ht="15" customHeight="1" x14ac:dyDescent="0.25">
      <c r="A5" s="546" t="s">
        <v>7</v>
      </c>
      <c r="B5" s="546"/>
      <c r="C5" s="546"/>
      <c r="D5" s="14">
        <f>'Pension Calculator'!C5</f>
        <v>45870</v>
      </c>
    </row>
    <row r="6" spans="1:13" ht="15" customHeight="1" x14ac:dyDescent="0.25">
      <c r="A6" s="546" t="s">
        <v>3</v>
      </c>
      <c r="B6" s="546"/>
      <c r="C6" s="546"/>
      <c r="D6" s="666" t="str">
        <f>'Pension Calculator'!C6</f>
        <v>Perla S. Pimentel</v>
      </c>
      <c r="E6" s="666"/>
      <c r="F6" s="666"/>
      <c r="H6" s="546" t="s">
        <v>34</v>
      </c>
      <c r="I6" s="546"/>
      <c r="J6" s="546"/>
      <c r="K6" s="12">
        <f>IF(D7=0,0,IF(AND(D3-D7&lt;0,(DATEDIF(D3,D5,"m")-(DATEDIF(D3,D5,"y")*12))-(DATEDIF(D7,D5,"m")-(DATEDIF(D7,D5,"y")*12))=0),DATEDIF(D3,D5,"y")-DATEDIF(D7,D5,"y"),IF(AND(D3-D7&gt;0,(DATEDIF(D7,D5,"m")-(DATEDIF(D7,D5,"y")*12))-(DATEDIF(D3,D5,"m")-(DATEDIF(D3,D5,"y")*12))=0),DATEDIF(D7,D5,"y")-DATEDIF(D3,D5,"y"),IF(D3-D7&lt;0,ROUNDDOWN(YEARFRAC(D3,D7),0),IF(D3-D7&gt;0,ROUNDDOWN(YEARFRAC(D7,D3),0),0)))))</f>
        <v>8</v>
      </c>
      <c r="L6" s="1" t="str">
        <f>IF(D7=0,"N/A",IF(K6=0,"No Difference.",IF(D3-D7&lt;0,"Year(s) Younger.", IF(D3-D7&gt;0, "Year(s) Older.","No Difference."))))</f>
        <v>Year(s) Younger.</v>
      </c>
    </row>
    <row r="7" spans="1:13" ht="15" customHeight="1" x14ac:dyDescent="0.25">
      <c r="A7" s="546" t="s">
        <v>5</v>
      </c>
      <c r="B7" s="546"/>
      <c r="C7" s="546"/>
      <c r="D7" s="14">
        <f>'Pension Calculator'!C7</f>
        <v>26366</v>
      </c>
    </row>
    <row r="8" spans="1:13" ht="15.75" customHeight="1" thickBot="1" x14ac:dyDescent="0.3">
      <c r="A8" s="575" t="s">
        <v>4</v>
      </c>
      <c r="B8" s="575"/>
      <c r="C8" s="575"/>
      <c r="D8" s="20" t="str">
        <f>DATEDIF(D7,D5,"y")&amp;"/"&amp;(DATEDIF(D7,D5, "m") - (DATEDIF(D7,D5, "y") * 12))</f>
        <v>53/4</v>
      </c>
      <c r="E8" s="19"/>
      <c r="F8" s="19"/>
      <c r="G8" s="19"/>
      <c r="H8" s="19"/>
      <c r="I8" s="19"/>
    </row>
    <row r="9" spans="1:13" ht="15.75" customHeight="1" thickBot="1" x14ac:dyDescent="0.3">
      <c r="A9" s="561" t="s">
        <v>8</v>
      </c>
      <c r="B9" s="562"/>
      <c r="C9" s="562"/>
      <c r="D9" s="563"/>
      <c r="E9" s="541" t="s">
        <v>14</v>
      </c>
      <c r="F9" s="541"/>
      <c r="G9" s="541"/>
      <c r="H9" s="541"/>
      <c r="I9" s="542"/>
      <c r="J9" s="540" t="s">
        <v>22</v>
      </c>
      <c r="K9" s="541"/>
      <c r="L9" s="541"/>
      <c r="M9" s="542"/>
    </row>
    <row r="10" spans="1:13" ht="14.25" thickBot="1" x14ac:dyDescent="0.3">
      <c r="A10" s="34" t="s">
        <v>36</v>
      </c>
      <c r="B10" s="28" t="s">
        <v>35</v>
      </c>
      <c r="C10" s="28" t="s">
        <v>9</v>
      </c>
      <c r="D10" s="29" t="s">
        <v>10</v>
      </c>
      <c r="E10" s="1" t="s">
        <v>52</v>
      </c>
      <c r="I10" s="21">
        <f>'Pro-Rata Worksheet'!B5</f>
        <v>10.65</v>
      </c>
      <c r="J10" s="11" t="s">
        <v>23</v>
      </c>
      <c r="K10" s="10" t="s">
        <v>24</v>
      </c>
      <c r="L10" s="10" t="s">
        <v>26</v>
      </c>
      <c r="M10" s="15" t="s">
        <v>27</v>
      </c>
    </row>
    <row r="11" spans="1:13" x14ac:dyDescent="0.25">
      <c r="A11" s="38"/>
      <c r="B11" s="33"/>
      <c r="C11" s="30"/>
      <c r="D11" s="5">
        <f t="shared" ref="D11:D17" si="0">(A11+B11)*C11</f>
        <v>0</v>
      </c>
      <c r="E11" s="1" t="s">
        <v>51</v>
      </c>
      <c r="I11" s="21">
        <f>'Pro-Rata Worksheet'!I5</f>
        <v>11.65</v>
      </c>
      <c r="J11" s="16">
        <v>0.5</v>
      </c>
      <c r="K11" s="17">
        <f>IF(COUNTIF(L6,"*Younger*"),100%-8%-(K6*0.4%),IF(100%-8%+(K6*0.4%)&gt;100%,100%,100%-8%+(K6*0.4%)))</f>
        <v>0.88800000000000001</v>
      </c>
      <c r="L11" s="3">
        <f>(I15+I18+I21)*K11</f>
        <v>1608.6078082404001</v>
      </c>
      <c r="M11" s="7">
        <f>L11*J11</f>
        <v>804.30390412020006</v>
      </c>
    </row>
    <row r="12" spans="1:13" x14ac:dyDescent="0.25">
      <c r="A12" s="38"/>
      <c r="B12" s="33"/>
      <c r="C12" s="30"/>
      <c r="D12" s="5">
        <f t="shared" si="0"/>
        <v>0</v>
      </c>
      <c r="E12" s="1" t="s">
        <v>53</v>
      </c>
      <c r="I12" s="4">
        <f>ROUNDDOWN(I10/I11,4)</f>
        <v>0.91410000000000002</v>
      </c>
      <c r="J12" s="6" t="s">
        <v>25</v>
      </c>
      <c r="K12" s="17">
        <f>IF(COUNTIF(L6,"*Younger*"),100%-8%-(K6*0.4%),IF(100%-8%+(K6*0.4%)&gt;100%,100%,100%-8%+(K6*0.4%)))</f>
        <v>0.88800000000000001</v>
      </c>
      <c r="L12" s="3">
        <f>(I15+I18)*K12</f>
        <v>724.70595368160002</v>
      </c>
      <c r="M12" s="7">
        <f>L12*J11</f>
        <v>362.35297684080001</v>
      </c>
    </row>
    <row r="13" spans="1:13" x14ac:dyDescent="0.25">
      <c r="A13" s="38" cm="1">
        <f t="array" ref="A13">SUM('Pro-Rata Worksheet'!I6:I10-'Pro-Rata Worksheet'!B6:B10)</f>
        <v>0</v>
      </c>
      <c r="B13" s="33"/>
      <c r="C13" s="30">
        <v>100</v>
      </c>
      <c r="D13" s="5">
        <f t="shared" si="0"/>
        <v>0</v>
      </c>
      <c r="E13" s="1" t="s">
        <v>54</v>
      </c>
      <c r="H13" s="21"/>
      <c r="I13" s="3">
        <f>D18*I12</f>
        <v>741.9201240000001</v>
      </c>
      <c r="J13" s="16">
        <v>0.75</v>
      </c>
      <c r="K13" s="17">
        <f>IF(COUNTIF(L6,"*Younger*"),100%-12%-(K6*0.4%),IF(100%-12%+(K6*0.4%)&gt;100%,100%,100%-12%+(K6*0.4%)))</f>
        <v>0.84799999999999998</v>
      </c>
      <c r="L13" s="3">
        <f>(I15+I18+I21)*K13</f>
        <v>1536.1479970584001</v>
      </c>
      <c r="M13" s="7">
        <f>L13*J13</f>
        <v>1152.1109977937999</v>
      </c>
    </row>
    <row r="14" spans="1:13" x14ac:dyDescent="0.25">
      <c r="A14" s="38"/>
      <c r="B14" s="33"/>
      <c r="C14" s="31">
        <v>50</v>
      </c>
      <c r="D14" s="5">
        <f t="shared" si="0"/>
        <v>0</v>
      </c>
      <c r="E14" s="1" t="s">
        <v>16</v>
      </c>
      <c r="I14" s="4">
        <f>IF(DATEDIF(D3,D5,"m")&lt;=600,(DATEDIF(D3,D5,"m")-540)*0.1%+40%,IF(DATEDIF(D3,D5,"m")&lt;=660,(DATEDIF(D3,D5,"m")-600)*0.2%+46%,IF((DATEDIF(D3,D5,"m")-660)*0.5%+58%&gt;=100%,100%,(DATEDIF(D3,D5,"m")-660)*0.5%+58%)))</f>
        <v>1</v>
      </c>
      <c r="J14" s="6" t="s">
        <v>25</v>
      </c>
      <c r="K14" s="17">
        <f>IF(COUNTIF(L6,"*Younger*"),100%-12%-(K6*0.4%),IF(100%-12%+(K6*0.4%)&gt;100%,100%,100%-12%+(K6*0.4%)))</f>
        <v>0.84799999999999998</v>
      </c>
      <c r="L14" s="3">
        <f>(I15+I18)*K14</f>
        <v>692.06154135360009</v>
      </c>
      <c r="M14" s="7">
        <f>L14*J13</f>
        <v>519.04615601520004</v>
      </c>
    </row>
    <row r="15" spans="1:13" x14ac:dyDescent="0.25">
      <c r="A15" s="38" cm="1">
        <f t="array" ref="A15">SUM('Pro-Rata Worksheet'!I35:I64-'Pro-Rata Worksheet'!B35:B64)</f>
        <v>0</v>
      </c>
      <c r="B15" s="33">
        <f>SUM('Pro-Rata Worksheet'!B35:B64)</f>
        <v>5.33</v>
      </c>
      <c r="C15" s="31">
        <v>118</v>
      </c>
      <c r="D15" s="5">
        <f t="shared" si="0"/>
        <v>628.94000000000005</v>
      </c>
      <c r="E15" s="1" t="s">
        <v>55</v>
      </c>
      <c r="I15" s="3">
        <f>(I13*I14)</f>
        <v>741.9201240000001</v>
      </c>
      <c r="J15" s="16">
        <v>1</v>
      </c>
      <c r="K15" s="17">
        <f>IF(COUNTIF(L6,"*Younger*"),100%-15%-(K6*0.5%),IF(100%-15%+(K6*0.5%)&gt;100%,100%,100%-15%+(K6*0.4%)))</f>
        <v>0.80999999999999994</v>
      </c>
      <c r="L15" s="3">
        <f>(I15+I18+I21)*K15</f>
        <v>1467.3111764354999</v>
      </c>
      <c r="M15" s="7">
        <f>L15*J15</f>
        <v>1467.3111764354999</v>
      </c>
    </row>
    <row r="16" spans="1:13" ht="14.25" thickBot="1" x14ac:dyDescent="0.3">
      <c r="A16" s="38" cm="1">
        <f t="array" ref="A16">SUM('Pro-Rata Worksheet'!I31:I34-'Pro-Rata Worksheet'!B31:B34)</f>
        <v>0</v>
      </c>
      <c r="B16" s="33">
        <f>SUM('Pro-Rata Worksheet'!B31:B34)</f>
        <v>1.7399999999999998</v>
      </c>
      <c r="C16" s="31">
        <v>105</v>
      </c>
      <c r="D16" s="5">
        <f t="shared" si="0"/>
        <v>182.7</v>
      </c>
      <c r="E16" s="1" t="s">
        <v>59</v>
      </c>
      <c r="H16" s="21"/>
      <c r="I16" s="3">
        <f>D22*I12</f>
        <v>88.850520000000003</v>
      </c>
      <c r="J16" s="18" t="s">
        <v>25</v>
      </c>
      <c r="K16" s="22">
        <f>IF(COUNTIF(L6,"*Younger*"),100%-15%-(K6*0.5%),IF(100%-15%+(K6*0.5%)&gt;100%,100%,100%-15%+(K6*0.4%)))</f>
        <v>0.80999999999999994</v>
      </c>
      <c r="L16" s="8">
        <f>(I15+I18)*K16</f>
        <v>661.04934964200004</v>
      </c>
      <c r="M16" s="9">
        <f>L16*J15</f>
        <v>661.04934964200004</v>
      </c>
    </row>
    <row r="17" spans="1:13" ht="14.25" thickBot="1" x14ac:dyDescent="0.3">
      <c r="A17" s="38"/>
      <c r="B17" s="33"/>
      <c r="C17" s="31">
        <v>125</v>
      </c>
      <c r="D17" s="5">
        <f t="shared" si="0"/>
        <v>0</v>
      </c>
      <c r="E17" s="2" t="s">
        <v>16</v>
      </c>
      <c r="F17" s="2"/>
      <c r="I17" s="4">
        <f>IF(DATEDIF(D3,D5,"m")&lt;=600,(DATEDIF(D3,D5,"m")-540)*0.1%+22%,IF(DATEDIF(D3,D5,"m")&lt;=660,(DATEDIF(D3,D5,"m")-600)*0.2%+28%,IF((DATEDIF(D3,D5,"m")-660)*0.5%+40%&gt;=100%,100%,(DATEDIF(D3,D5,"m")-660)*0.5%+40%)))</f>
        <v>0.83499999999999996</v>
      </c>
    </row>
    <row r="18" spans="1:13" ht="14.25" thickBot="1" x14ac:dyDescent="0.3">
      <c r="A18" s="24">
        <f>SUM(A11:A17)</f>
        <v>0</v>
      </c>
      <c r="B18" s="35">
        <f>SUM(B11:B17)</f>
        <v>7.07</v>
      </c>
      <c r="C18" s="23" t="s">
        <v>11</v>
      </c>
      <c r="D18" s="26">
        <f>SUM(D11:D17)</f>
        <v>811.6400000000001</v>
      </c>
      <c r="E18" s="1" t="s">
        <v>56</v>
      </c>
      <c r="I18" s="3">
        <f>I16*I17</f>
        <v>74.190184200000004</v>
      </c>
      <c r="J18" s="540" t="s">
        <v>28</v>
      </c>
      <c r="K18" s="541"/>
      <c r="L18" s="541"/>
      <c r="M18" s="542"/>
    </row>
    <row r="19" spans="1:13" ht="15.75" customHeight="1" thickBot="1" x14ac:dyDescent="0.3">
      <c r="A19" s="572" t="s">
        <v>12</v>
      </c>
      <c r="B19" s="573"/>
      <c r="C19" s="573"/>
      <c r="D19" s="574"/>
      <c r="E19" s="77" t="s">
        <v>57</v>
      </c>
      <c r="H19" s="21"/>
      <c r="I19" s="3">
        <f>SUM(D30+D39)*I12</f>
        <v>1192.07781</v>
      </c>
      <c r="J19" s="11" t="s">
        <v>23</v>
      </c>
      <c r="K19" s="10" t="s">
        <v>24</v>
      </c>
      <c r="L19" s="10" t="s">
        <v>26</v>
      </c>
      <c r="M19" s="15" t="s">
        <v>27</v>
      </c>
    </row>
    <row r="20" spans="1:13" x14ac:dyDescent="0.25">
      <c r="A20" s="38" cm="1">
        <f t="array" ref="A20">SUM('Pro-Rata Worksheet'!I27:I30-'Pro-Rata Worksheet'!B27:B30)</f>
        <v>1</v>
      </c>
      <c r="B20" s="33">
        <f>SUM('Pro-Rata Worksheet'!B27:B30)</f>
        <v>0.08</v>
      </c>
      <c r="C20" s="3">
        <v>90</v>
      </c>
      <c r="D20" s="5">
        <f>(A20+B20)*C20</f>
        <v>97.2</v>
      </c>
      <c r="E20" s="1" t="s">
        <v>16</v>
      </c>
      <c r="I20" s="4">
        <f>IF(DATEDIF(D3,D5,"m")&lt;=600,(DATEDIF(D3,D5,"m")-540)*0.1%+22%,IF(DATEDIF(D3,D5,"m")&lt;=660,(DATEDIF(D3,D5,"m")-600)*0.2%+28%,IF((DATEDIF(D3,D5,"m")-660)*0.5%+40%&gt;=100%,100%,(DATEDIF(D3,D5,"m")-660)*0.5%+40%)))</f>
        <v>0.83499999999999996</v>
      </c>
      <c r="J20" s="16">
        <v>0.5</v>
      </c>
      <c r="K20" s="17">
        <f>IF(COUNTIF(L6,"*Younger*"),100%-18%-(K6*0.4%),IF(100%-18%+(K6*0.4%)&gt;100%,100%,100%-18%+(K6*0.4%)))</f>
        <v>0.78800000000000003</v>
      </c>
      <c r="L20" s="3">
        <f>(I13+I16+I19)*K20</f>
        <v>1594.0045817519999</v>
      </c>
      <c r="M20" s="7">
        <f>L20*J20</f>
        <v>797.00229087599996</v>
      </c>
    </row>
    <row r="21" spans="1:13" ht="14.25" thickBot="1" x14ac:dyDescent="0.3">
      <c r="A21" s="82"/>
      <c r="B21" s="83"/>
      <c r="C21" s="8">
        <v>125</v>
      </c>
      <c r="D21" s="85">
        <f>(A21+B21)*C21</f>
        <v>0</v>
      </c>
      <c r="E21" s="77" t="s">
        <v>58</v>
      </c>
      <c r="I21" s="3">
        <f>I19*I20</f>
        <v>995.38497135</v>
      </c>
      <c r="J21" s="6" t="s">
        <v>25</v>
      </c>
      <c r="K21" s="17">
        <f>IF(COUNTIF(L6,"*Younger*"),100%-18%-(K6*0.4%),IF(100%-18%+(K6*0.4%)&gt;100%,100%,100%-18%+(K6*0.4%)))</f>
        <v>0.78800000000000003</v>
      </c>
      <c r="L21" s="3">
        <f>(I13+I16)*K21</f>
        <v>654.64726747200007</v>
      </c>
      <c r="M21" s="7">
        <f>L21*J20</f>
        <v>327.32363373600003</v>
      </c>
    </row>
    <row r="22" spans="1:13" ht="14.25" thickBot="1" x14ac:dyDescent="0.3">
      <c r="A22" s="35">
        <f>SUM(A20:A21)</f>
        <v>1</v>
      </c>
      <c r="B22" s="35">
        <f>SUM(B20:B21)</f>
        <v>0.08</v>
      </c>
      <c r="C22" s="25" t="s">
        <v>11</v>
      </c>
      <c r="D22" s="26">
        <f>SUM(D20:D21)</f>
        <v>97.2</v>
      </c>
      <c r="E22" s="2"/>
      <c r="F22" s="2"/>
      <c r="J22" s="16">
        <v>0.75</v>
      </c>
      <c r="K22" s="17">
        <f>IF(COUNTIF(L6,"*Younger*"),100%-24%-(K6*0.4%),IF(100%-24%+(K6*0.4%)&gt;100%,100%,100%-24%+(K6*0.4%)))</f>
        <v>0.72799999999999998</v>
      </c>
      <c r="L22" s="3">
        <f>(I13+I16+I19)*K22</f>
        <v>1472.633674512</v>
      </c>
      <c r="M22" s="7">
        <f>L22*J22</f>
        <v>1104.475255884</v>
      </c>
    </row>
    <row r="23" spans="1:13" ht="15" customHeight="1" thickBot="1" x14ac:dyDescent="0.3">
      <c r="A23" s="572" t="s">
        <v>13</v>
      </c>
      <c r="B23" s="573"/>
      <c r="C23" s="573"/>
      <c r="D23" s="574"/>
      <c r="E23" s="77" t="s">
        <v>60</v>
      </c>
      <c r="I23" s="3">
        <f>SUM(I13,I16,I19)</f>
        <v>2022.8484539999999</v>
      </c>
      <c r="J23" s="6" t="s">
        <v>25</v>
      </c>
      <c r="K23" s="17">
        <f>IF(COUNTIF(L6,"*Younger*"),100%-24%-(K6*0.4%),IF(100%-24%+(K6*0.4%)&gt;100%,100%,100%-24%+(K6*0.4%)))</f>
        <v>0.72799999999999998</v>
      </c>
      <c r="L23" s="3">
        <f>(I13+I16)*K23</f>
        <v>604.80102883200004</v>
      </c>
      <c r="M23" s="7">
        <f>L23*J22</f>
        <v>453.600771624</v>
      </c>
    </row>
    <row r="24" spans="1:13" x14ac:dyDescent="0.25">
      <c r="A24" s="38" cm="1">
        <f t="array" ref="A24">SUM('Pro-Rata Worksheet'!I6:I26-'Pro-Rata Worksheet'!B6:B26)</f>
        <v>0</v>
      </c>
      <c r="B24" s="33">
        <v>3.67</v>
      </c>
      <c r="C24" s="3">
        <v>105</v>
      </c>
      <c r="D24" s="5">
        <f t="shared" ref="D24:D29" si="1">(A24+B24)*C24</f>
        <v>385.34999999999997</v>
      </c>
      <c r="E24" s="77" t="s">
        <v>61</v>
      </c>
      <c r="I24" s="3">
        <f>SUM(I13,I16)</f>
        <v>830.77064400000006</v>
      </c>
      <c r="J24" s="16">
        <v>1</v>
      </c>
      <c r="K24" s="17">
        <f>IF(COUNTIF(L6,"*Younger*"),100%-30%-(K6*0.5%),IF(100%-30%+(K6*0.5%)&gt;100%,100%,100%-30%+(K6*0.4%)))</f>
        <v>0.65999999999999992</v>
      </c>
      <c r="L24" s="3">
        <f>(I13+I16+I19)*K24</f>
        <v>1335.0799796399997</v>
      </c>
      <c r="M24" s="7">
        <f>L24*J24</f>
        <v>1335.0799796399997</v>
      </c>
    </row>
    <row r="25" spans="1:13" ht="14.25" thickBot="1" x14ac:dyDescent="0.3">
      <c r="A25" s="38"/>
      <c r="B25" s="33"/>
      <c r="C25" s="3">
        <v>125</v>
      </c>
      <c r="D25" s="5">
        <f t="shared" si="1"/>
        <v>0</v>
      </c>
      <c r="E25" s="77"/>
      <c r="J25" s="18" t="s">
        <v>25</v>
      </c>
      <c r="K25" s="22">
        <f>IF(COUNTIF(L6,"*Younger*"),100%-30%-(K6*0.5%),IF(100%-30%+(K6*0.5%)&gt;100%,100%,100%-30%+(K6*0.4%)))</f>
        <v>0.65999999999999992</v>
      </c>
      <c r="L25" s="8">
        <f>(I13+I16)*K24</f>
        <v>548.30862503999992</v>
      </c>
      <c r="M25" s="9">
        <f>L25*J24</f>
        <v>548.30862503999992</v>
      </c>
    </row>
    <row r="26" spans="1:13" ht="14.25" thickBot="1" x14ac:dyDescent="0.3">
      <c r="A26" s="38"/>
      <c r="B26" s="33"/>
      <c r="C26" s="3">
        <v>135</v>
      </c>
      <c r="D26" s="5">
        <f t="shared" si="1"/>
        <v>0</v>
      </c>
      <c r="E26" s="77" t="s">
        <v>62</v>
      </c>
      <c r="I26" s="3">
        <f>SUM(I15,I18,I21)</f>
        <v>1811.4952795500001</v>
      </c>
    </row>
    <row r="27" spans="1:13" ht="14.25" thickBot="1" x14ac:dyDescent="0.3">
      <c r="A27" s="38"/>
      <c r="B27" s="33"/>
      <c r="C27" s="32"/>
      <c r="D27" s="5">
        <f t="shared" si="1"/>
        <v>0</v>
      </c>
      <c r="E27" s="77" t="s">
        <v>63</v>
      </c>
      <c r="I27" s="3">
        <f>SUM(I15,I18)</f>
        <v>816.11030820000008</v>
      </c>
      <c r="J27" s="540" t="s">
        <v>69</v>
      </c>
      <c r="K27" s="541"/>
      <c r="L27" s="541"/>
      <c r="M27" s="542"/>
    </row>
    <row r="28" spans="1:13" ht="15.75" customHeight="1" x14ac:dyDescent="0.25">
      <c r="A28" s="38"/>
      <c r="B28" s="33"/>
      <c r="C28" s="32"/>
      <c r="D28" s="5">
        <f t="shared" si="1"/>
        <v>0</v>
      </c>
      <c r="J28" s="79" t="s">
        <v>23</v>
      </c>
      <c r="K28" s="80" t="s">
        <v>24</v>
      </c>
      <c r="L28" s="80" t="s">
        <v>26</v>
      </c>
      <c r="M28" s="81" t="s">
        <v>27</v>
      </c>
    </row>
    <row r="29" spans="1:13" ht="14.25" thickBot="1" x14ac:dyDescent="0.3">
      <c r="A29" s="38"/>
      <c r="B29" s="33"/>
      <c r="C29" s="32"/>
      <c r="D29" s="5">
        <f t="shared" si="1"/>
        <v>0</v>
      </c>
      <c r="J29" s="16">
        <v>0.5</v>
      </c>
      <c r="K29" s="17">
        <f>IF(COUNTIF(L6,"*Younger*"),100%-8%-(K6*0.4%),IF(100%-8%+(K6*0.4%)&gt;100%,100%,100%-8%+(K6*0.4%)))</f>
        <v>0.88800000000000001</v>
      </c>
      <c r="L29" s="3">
        <f>(I13+I16+I19)*K29</f>
        <v>1796.2894271519999</v>
      </c>
      <c r="M29" s="7">
        <f>L29*J29</f>
        <v>898.14471357599996</v>
      </c>
    </row>
    <row r="30" spans="1:13" ht="14.25" thickBot="1" x14ac:dyDescent="0.3">
      <c r="A30" s="35">
        <f>SUM(A24:A29)</f>
        <v>0</v>
      </c>
      <c r="B30" s="35">
        <f>SUM(B24:B29)</f>
        <v>3.67</v>
      </c>
      <c r="C30" s="23" t="s">
        <v>11</v>
      </c>
      <c r="D30" s="26">
        <f>SUM(D24:D29)</f>
        <v>385.34999999999997</v>
      </c>
      <c r="J30" s="6" t="s">
        <v>25</v>
      </c>
      <c r="K30" s="17">
        <f>IF(COUNTIF(L6,"*Younger*"),100%-8%-(K6*0.4%),IF(100%-8%+(K6*0.4%)&gt;100%,100%,100%-8%+(K6*0.4%)))</f>
        <v>0.88800000000000001</v>
      </c>
      <c r="L30" s="3">
        <f>(I13+I16)*K30</f>
        <v>737.72433187200011</v>
      </c>
      <c r="M30" s="7">
        <f>L30*J29</f>
        <v>368.86216593600005</v>
      </c>
    </row>
    <row r="31" spans="1:13" ht="15.75" customHeight="1" thickBot="1" x14ac:dyDescent="0.3">
      <c r="A31" s="36">
        <f>SUM(A18,A22,A30)</f>
        <v>1</v>
      </c>
      <c r="B31" s="37">
        <f>SUM(B18,B22,B30)</f>
        <v>10.82</v>
      </c>
      <c r="C31" s="28" t="s">
        <v>81</v>
      </c>
      <c r="D31" s="26">
        <f>SUM(D18,D22,D30)</f>
        <v>1294.19</v>
      </c>
      <c r="E31" s="77" t="s">
        <v>78</v>
      </c>
      <c r="I31" s="1">
        <v>0</v>
      </c>
      <c r="J31" s="16">
        <v>0.75</v>
      </c>
      <c r="K31" s="17">
        <f>IF(COUNTIF(L6,"*Younger*"),100%-12%-(K6*0.4%),IF(100%-12%+(K6*0.4%)&gt;100%,100%,100%-12%+(K6*0.4%)))</f>
        <v>0.84799999999999998</v>
      </c>
      <c r="L31" s="3">
        <f>(I13+I16+I19)*K31</f>
        <v>1715.3754889919999</v>
      </c>
      <c r="M31" s="7">
        <f>L31*J31</f>
        <v>1286.5316167439998</v>
      </c>
    </row>
    <row r="32" spans="1:13" ht="14.25" thickBot="1" x14ac:dyDescent="0.3">
      <c r="A32" s="561" t="s">
        <v>80</v>
      </c>
      <c r="B32" s="562"/>
      <c r="C32" s="562"/>
      <c r="D32" s="563"/>
      <c r="E32" s="77" t="s">
        <v>79</v>
      </c>
      <c r="I32" s="1">
        <v>0</v>
      </c>
      <c r="J32" s="6" t="s">
        <v>25</v>
      </c>
      <c r="K32" s="17">
        <f>IF(COUNTIF(L6,"*Younger*"),100%-12%-(K6*0.4%),IF(100%-12%+(K6*0.4%)&gt;100%,100%,100%-12%+(K6*0.4%)))</f>
        <v>0.84799999999999998</v>
      </c>
      <c r="L32" s="3">
        <f>(I13+I16)*K32</f>
        <v>704.49350611199998</v>
      </c>
      <c r="M32" s="7">
        <f>L32*J31</f>
        <v>528.37012958399998</v>
      </c>
    </row>
    <row r="33" spans="1:13" ht="15.75" customHeight="1" x14ac:dyDescent="0.25">
      <c r="A33" s="38"/>
      <c r="B33" s="33">
        <v>8.75</v>
      </c>
      <c r="C33" s="3">
        <v>105</v>
      </c>
      <c r="D33" s="5">
        <f t="shared" ref="D33:D38" si="2">(A33+B33)*C33</f>
        <v>918.75</v>
      </c>
      <c r="E33" s="77" t="s">
        <v>67</v>
      </c>
      <c r="I33" s="4">
        <f>SUM(I31*1%)+(I32*1.5%)</f>
        <v>0</v>
      </c>
      <c r="J33" s="16">
        <v>1</v>
      </c>
      <c r="K33" s="17">
        <f>IF(COUNTIF(L6,"*Younger*"),100%-15%-(K6*0.5%),IF(100%-15%+(K6*0.5%)&gt;100%,100%,100%-15%+(K6*0.4%)))</f>
        <v>0.80999999999999994</v>
      </c>
      <c r="L33" s="3">
        <f>(I13+I16+I19)*K33</f>
        <v>1638.5072477399999</v>
      </c>
      <c r="M33" s="7">
        <f>L33*J33</f>
        <v>1638.5072477399999</v>
      </c>
    </row>
    <row r="34" spans="1:13" ht="14.65" customHeight="1" thickBot="1" x14ac:dyDescent="0.3">
      <c r="A34" s="38"/>
      <c r="B34" s="33"/>
      <c r="C34" s="3">
        <v>125</v>
      </c>
      <c r="D34" s="5">
        <f t="shared" si="2"/>
        <v>0</v>
      </c>
      <c r="E34" s="1" t="s">
        <v>66</v>
      </c>
      <c r="I34" s="3">
        <f>SUM(D31*I12)*I33</f>
        <v>0</v>
      </c>
      <c r="J34" s="18" t="s">
        <v>25</v>
      </c>
      <c r="K34" s="22">
        <f>IF(COUNTIF(L6,"*Younger*"),100%-15%-(K6*0.5%),IF(100%-15%+(K6*0.5%)&gt;100%,100%,100%-15%+(K6*0.4%)))</f>
        <v>0.80999999999999994</v>
      </c>
      <c r="L34" s="8">
        <f>(I13+I16)*K34</f>
        <v>672.92422164000004</v>
      </c>
      <c r="M34" s="9">
        <f>L34*J33</f>
        <v>672.92422164000004</v>
      </c>
    </row>
    <row r="35" spans="1:13" ht="14.25" thickBot="1" x14ac:dyDescent="0.3">
      <c r="A35" s="38"/>
      <c r="B35" s="33"/>
      <c r="C35" s="3">
        <v>135</v>
      </c>
      <c r="D35" s="5">
        <f t="shared" si="2"/>
        <v>0</v>
      </c>
      <c r="E35" s="1" t="s">
        <v>68</v>
      </c>
      <c r="I35" s="3">
        <f>SUM((D18+D22)*I12)*I33</f>
        <v>0</v>
      </c>
    </row>
    <row r="36" spans="1:13" ht="14.25" thickBot="1" x14ac:dyDescent="0.3">
      <c r="A36" s="38"/>
      <c r="B36" s="33"/>
      <c r="C36" s="32"/>
      <c r="D36" s="5">
        <f t="shared" si="2"/>
        <v>0</v>
      </c>
      <c r="E36" s="1" t="s">
        <v>71</v>
      </c>
      <c r="I36" s="3">
        <f>SUM((D31*I12)+I34)</f>
        <v>1183.0190790000001</v>
      </c>
      <c r="J36" s="540" t="s">
        <v>70</v>
      </c>
      <c r="K36" s="541"/>
      <c r="L36" s="541"/>
      <c r="M36" s="542"/>
    </row>
    <row r="37" spans="1:13" x14ac:dyDescent="0.25">
      <c r="A37" s="38"/>
      <c r="B37" s="33"/>
      <c r="C37" s="32"/>
      <c r="D37" s="5">
        <f t="shared" si="2"/>
        <v>0</v>
      </c>
      <c r="E37" s="1" t="s">
        <v>72</v>
      </c>
      <c r="I37" s="3">
        <f>SUM((D18+D22)*I12+I35)</f>
        <v>830.77064400000017</v>
      </c>
      <c r="J37" s="79" t="s">
        <v>23</v>
      </c>
      <c r="K37" s="80" t="s">
        <v>24</v>
      </c>
      <c r="L37" s="80" t="s">
        <v>26</v>
      </c>
      <c r="M37" s="81" t="s">
        <v>27</v>
      </c>
    </row>
    <row r="38" spans="1:13" ht="14.25" thickBot="1" x14ac:dyDescent="0.3">
      <c r="A38" s="82"/>
      <c r="B38" s="83"/>
      <c r="C38" s="84"/>
      <c r="D38" s="85">
        <f t="shared" si="2"/>
        <v>0</v>
      </c>
      <c r="J38" s="16">
        <v>0.5</v>
      </c>
      <c r="K38" s="17">
        <f>IF(COUNTIF(L6,"*Younger*"),100%-8%-(K6*0.4%),IF(100%-8%+(K6*0.4%)&gt;100%,100%,100%-8%+(K6*0.4%)))</f>
        <v>0.88800000000000001</v>
      </c>
      <c r="L38" s="3">
        <f>I36*K38</f>
        <v>1050.5209421520001</v>
      </c>
      <c r="M38" s="7">
        <f>L38*J38</f>
        <v>525.26047107600004</v>
      </c>
    </row>
    <row r="39" spans="1:13" ht="14.25" thickBot="1" x14ac:dyDescent="0.3">
      <c r="A39" s="24">
        <f>SUM(A33:A38)</f>
        <v>0</v>
      </c>
      <c r="B39" s="35">
        <f>SUM(B33:B38)</f>
        <v>8.75</v>
      </c>
      <c r="C39" s="86" t="s">
        <v>11</v>
      </c>
      <c r="D39" s="26">
        <f>SUM(D33:D38)</f>
        <v>918.75</v>
      </c>
      <c r="E39" s="1" t="s">
        <v>75</v>
      </c>
      <c r="I39" s="3">
        <f>I23</f>
        <v>2022.8484539999999</v>
      </c>
      <c r="J39" s="6" t="s">
        <v>25</v>
      </c>
      <c r="K39" s="17">
        <f>IF(COUNTIF(L6,"*Younger*"),100%-8%-(K6*0.4%),IF(100%-8%+(K6*0.4%)&gt;100%,100%,100%-8%+(K6*0.4%)))</f>
        <v>0.88800000000000001</v>
      </c>
      <c r="L39" s="3">
        <f>I37*K39</f>
        <v>737.72433187200022</v>
      </c>
      <c r="M39" s="7">
        <f>L39*J38</f>
        <v>368.86216593600011</v>
      </c>
    </row>
    <row r="40" spans="1:13" ht="15.75" customHeight="1" thickBot="1" x14ac:dyDescent="0.3">
      <c r="A40" s="24">
        <f>SUM(A18,A22,A30,A39)</f>
        <v>1</v>
      </c>
      <c r="B40" s="24">
        <f>SUM(B18,B22,B30,B39)</f>
        <v>19.57</v>
      </c>
      <c r="C40" s="28" t="s">
        <v>37</v>
      </c>
      <c r="D40" s="26">
        <f>SUM(D18,D22,D30,D39)</f>
        <v>2212.94</v>
      </c>
      <c r="E40" s="1" t="s">
        <v>76</v>
      </c>
      <c r="I40" s="3">
        <f>I36</f>
        <v>1183.0190790000001</v>
      </c>
      <c r="J40" s="16">
        <v>0.75</v>
      </c>
      <c r="K40" s="17">
        <f>IF(COUNTIF(L6,"*Younger*"),100%-12%-(K6*0.4%),IF(100%-12%+(K6*0.4%)&gt;100%,100%,100%-12%+(K6*0.4%)))</f>
        <v>0.84799999999999998</v>
      </c>
      <c r="L40" s="3">
        <f>I36*K40</f>
        <v>1003.2001789920001</v>
      </c>
      <c r="M40" s="7">
        <f>L40*J40</f>
        <v>752.40013424400013</v>
      </c>
    </row>
    <row r="41" spans="1:13" x14ac:dyDescent="0.25">
      <c r="E41" s="1" t="s">
        <v>77</v>
      </c>
      <c r="H41" s="1" t="str">
        <f>IF(I39=I40,"No Difference",IF(I39&lt;I40,"Calculation 2","Calculation 1"))</f>
        <v>Calculation 1</v>
      </c>
      <c r="I41" s="3">
        <f>IF(I39=I40,I39,IF(I39&lt;I40,I40,I39))</f>
        <v>2022.8484539999999</v>
      </c>
      <c r="J41" s="6" t="s">
        <v>25</v>
      </c>
      <c r="K41" s="17">
        <f>IF(COUNTIF(L6,"*Younger*"),100%-12%-(K6*0.4%),IF(100%-12%+(K6*0.4%)&gt;100%,100%,100%-12%+(K6*0.4%)))</f>
        <v>0.84799999999999998</v>
      </c>
      <c r="L41" s="3">
        <f>I37*K41</f>
        <v>704.49350611200009</v>
      </c>
      <c r="M41" s="7">
        <f>L41*J40</f>
        <v>528.3701295840001</v>
      </c>
    </row>
    <row r="42" spans="1:13" x14ac:dyDescent="0.25">
      <c r="J42" s="16">
        <v>1</v>
      </c>
      <c r="K42" s="17">
        <f>IF(COUNTIF(L6,"*Younger*"),100%-15%-(K6*0.5%),IF(100%-15%+(K6*0.5%)&gt;100%,100%,100%-15%+(K6*0.4%)))</f>
        <v>0.80999999999999994</v>
      </c>
      <c r="L42" s="3">
        <f>I36*K42</f>
        <v>958.2454539900001</v>
      </c>
      <c r="M42" s="7">
        <f>L42*J42</f>
        <v>958.2454539900001</v>
      </c>
    </row>
    <row r="43" spans="1:13" ht="14.25" thickBot="1" x14ac:dyDescent="0.3">
      <c r="A43" s="1" t="s">
        <v>30</v>
      </c>
      <c r="B43" s="571"/>
      <c r="C43" s="571"/>
      <c r="D43" s="571"/>
      <c r="E43" s="1" t="s">
        <v>31</v>
      </c>
      <c r="F43" s="571"/>
      <c r="G43" s="571"/>
      <c r="H43" s="571"/>
      <c r="J43" s="18" t="s">
        <v>25</v>
      </c>
      <c r="K43" s="22">
        <f>IF(COUNTIF(L6,"*Younger*"),100%-15%-(K6*0.5%),IF(100%-15%+(K6*0.5%)&gt;100%,100%,100%-15%+(K6*0.4%)))</f>
        <v>0.80999999999999994</v>
      </c>
      <c r="L43" s="8">
        <f>I37*K43</f>
        <v>672.92422164000004</v>
      </c>
      <c r="M43" s="9">
        <f>L43*J42</f>
        <v>672.92422164000004</v>
      </c>
    </row>
  </sheetData>
  <mergeCells count="23">
    <mergeCell ref="A4:C4"/>
    <mergeCell ref="A1:M1"/>
    <mergeCell ref="A2:C2"/>
    <mergeCell ref="D2:F2"/>
    <mergeCell ref="J2:K2"/>
    <mergeCell ref="A3:C3"/>
    <mergeCell ref="A23:D23"/>
    <mergeCell ref="A5:C5"/>
    <mergeCell ref="A6:C6"/>
    <mergeCell ref="D6:F6"/>
    <mergeCell ref="H6:J6"/>
    <mergeCell ref="A7:C7"/>
    <mergeCell ref="A8:C8"/>
    <mergeCell ref="A9:D9"/>
    <mergeCell ref="E9:I9"/>
    <mergeCell ref="J9:M9"/>
    <mergeCell ref="J18:M18"/>
    <mergeCell ref="A19:D19"/>
    <mergeCell ref="J27:M27"/>
    <mergeCell ref="A32:D32"/>
    <mergeCell ref="J36:M36"/>
    <mergeCell ref="B43:D43"/>
    <mergeCell ref="F43:H43"/>
  </mergeCells>
  <pageMargins left="0.7" right="0.7" top="0.75" bottom="0.75" header="0.3" footer="0.3"/>
  <pageSetup scale="7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2242F72F1E247A63E561F868BE69F" ma:contentTypeVersion="13" ma:contentTypeDescription="Create a new document." ma:contentTypeScope="" ma:versionID="57b0a05c10e20082f1552df647e10dd5">
  <xsd:schema xmlns:xsd="http://www.w3.org/2001/XMLSchema" xmlns:xs="http://www.w3.org/2001/XMLSchema" xmlns:p="http://schemas.microsoft.com/office/2006/metadata/properties" xmlns:ns3="4b6e71bc-a766-41f0-9631-bba805954b99" xmlns:ns4="4d312aff-4c9f-4fca-bc43-0000c8cb9ffc" targetNamespace="http://schemas.microsoft.com/office/2006/metadata/properties" ma:root="true" ma:fieldsID="f82bb41fd0d73a451407981534325927" ns3:_="" ns4:_="">
    <xsd:import namespace="4b6e71bc-a766-41f0-9631-bba805954b99"/>
    <xsd:import namespace="4d312aff-4c9f-4fca-bc43-0000c8cb9ff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e71bc-a766-41f0-9631-bba805954b9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12aff-4c9f-4fca-bc43-0000c8cb9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312aff-4c9f-4fca-bc43-0000c8cb9ffc" xsi:nil="true"/>
  </documentManagement>
</p:properties>
</file>

<file path=customXml/itemProps1.xml><?xml version="1.0" encoding="utf-8"?>
<ds:datastoreItem xmlns:ds="http://schemas.openxmlformats.org/officeDocument/2006/customXml" ds:itemID="{D2C75C26-082C-4DC1-A0E9-21295297AD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6e71bc-a766-41f0-9631-bba805954b99"/>
    <ds:schemaRef ds:uri="4d312aff-4c9f-4fca-bc43-0000c8cb9f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BCCEC5-AD04-4459-AEDF-ACB2F66DDE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364562-FC3F-474E-B107-91FB6FED03C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3A48438-D0DE-410C-AC62-D7DD98854BD0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d312aff-4c9f-4fca-bc43-0000c8cb9ffc"/>
    <ds:schemaRef ds:uri="4b6e71bc-a766-41f0-9631-bba805954b9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33</vt:i4>
      </vt:variant>
    </vt:vector>
  </HeadingPairs>
  <TitlesOfParts>
    <vt:vector size="53" baseType="lpstr">
      <vt:lpstr>Pension Calculator</vt:lpstr>
      <vt:lpstr>Delayed</vt:lpstr>
      <vt:lpstr>Pro-Rata Worksheet</vt:lpstr>
      <vt:lpstr>QDRO Pension Calculator</vt:lpstr>
      <vt:lpstr>QDRO Month Calc</vt:lpstr>
      <vt:lpstr>Pro-Rata</vt:lpstr>
      <vt:lpstr>4% Interest Calculator</vt:lpstr>
      <vt:lpstr>DCP Tax Calculator</vt:lpstr>
      <vt:lpstr>DCP QDRO Calculation Sheet</vt:lpstr>
      <vt:lpstr>Tabs to the right do not work</vt:lpstr>
      <vt:lpstr>Mail Dashboard</vt:lpstr>
      <vt:lpstr>Overpayment</vt:lpstr>
      <vt:lpstr>Re-Retirement</vt:lpstr>
      <vt:lpstr>Overpayments &amp; Adjustments</vt:lpstr>
      <vt:lpstr>OldServiceEarlyDisability</vt:lpstr>
      <vt:lpstr>QDRO Pension Calculator 6.017</vt:lpstr>
      <vt:lpstr>QDRO PR Pension Calculator (2)</vt:lpstr>
      <vt:lpstr>QDRO PR Pension Calculator</vt:lpstr>
      <vt:lpstr>Pro-Rata (2)</vt:lpstr>
      <vt:lpstr>Pro-Rata (3)</vt:lpstr>
      <vt:lpstr>'Mail Dashboard'!_Hlk138419189</vt:lpstr>
      <vt:lpstr>'Mail Dashboard'!Check10</vt:lpstr>
      <vt:lpstr>'Mail Dashboard'!Check13</vt:lpstr>
      <vt:lpstr>'Mail Dashboard'!Check16</vt:lpstr>
      <vt:lpstr>'Mail Dashboard'!Check17</vt:lpstr>
      <vt:lpstr>'Mail Dashboard'!Check18</vt:lpstr>
      <vt:lpstr>'Mail Dashboard'!Check19</vt:lpstr>
      <vt:lpstr>'Mail Dashboard'!Check20</vt:lpstr>
      <vt:lpstr>'Mail Dashboard'!Check21</vt:lpstr>
      <vt:lpstr>'Mail Dashboard'!Check22</vt:lpstr>
      <vt:lpstr>'Mail Dashboard'!Check23</vt:lpstr>
      <vt:lpstr>'Mail Dashboard'!Check24</vt:lpstr>
      <vt:lpstr>'Mail Dashboard'!Check25</vt:lpstr>
      <vt:lpstr>'Mail Dashboard'!Check26</vt:lpstr>
      <vt:lpstr>'Mail Dashboard'!Check27</vt:lpstr>
      <vt:lpstr>'Mail Dashboard'!Check28</vt:lpstr>
      <vt:lpstr>'Mail Dashboard'!Check29</vt:lpstr>
      <vt:lpstr>'Mail Dashboard'!Check30</vt:lpstr>
      <vt:lpstr>'Mail Dashboard'!Check31</vt:lpstr>
      <vt:lpstr>Delayed!Print_Area</vt:lpstr>
      <vt:lpstr>Overpayment!Print_Area</vt:lpstr>
      <vt:lpstr>'Overpayments &amp; Adjustments'!Print_Area</vt:lpstr>
      <vt:lpstr>'Re-Retirement'!Print_Area</vt:lpstr>
      <vt:lpstr>'Mail Dashboard'!Text10</vt:lpstr>
      <vt:lpstr>'Mail Dashboard'!Text11</vt:lpstr>
      <vt:lpstr>'Mail Dashboard'!Text12</vt:lpstr>
      <vt:lpstr>'Mail Dashboard'!Text18</vt:lpstr>
      <vt:lpstr>'Mail Dashboard'!Text2</vt:lpstr>
      <vt:lpstr>'Mail Dashboard'!Text20</vt:lpstr>
      <vt:lpstr>'Mail Dashboard'!Text21</vt:lpstr>
      <vt:lpstr>'Mail Dashboard'!Text22</vt:lpstr>
      <vt:lpstr>'Mail Dashboard'!Text23</vt:lpstr>
      <vt:lpstr>'Mail Dashboard'!Text24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Miles</dc:creator>
  <cp:lastModifiedBy>Alex Miles</cp:lastModifiedBy>
  <cp:lastPrinted>2026-05-22T20:51:31Z</cp:lastPrinted>
  <dcterms:created xsi:type="dcterms:W3CDTF">2025-05-28T03:42:01Z</dcterms:created>
  <dcterms:modified xsi:type="dcterms:W3CDTF">2026-05-22T23:20:27Z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0x010100AC02242F72F1E247A63E561F868BE69F</vt:lpwstr>
  </property>
</Properties>
</file>